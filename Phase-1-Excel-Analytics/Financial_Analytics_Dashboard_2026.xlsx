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yzen 4650G\Downloads\"/>
    </mc:Choice>
  </mc:AlternateContent>
  <xr:revisionPtr revIDLastSave="0" documentId="8_{D3B66917-A8A8-4831-B311-277EA14B399D}" xr6:coauthVersionLast="47" xr6:coauthVersionMax="47" xr10:uidLastSave="{00000000-0000-0000-0000-000000000000}"/>
  <bookViews>
    <workbookView xWindow="-120" yWindow="-120" windowWidth="29040" windowHeight="15720" xr2:uid="{FEE196CC-3B48-44B9-BB4C-6E294F57A1DB}"/>
  </bookViews>
  <sheets>
    <sheet name="Tracker" sheetId="2" r:id="rId1"/>
    <sheet name="Summary of payments" sheetId="6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3" l="1"/>
  <c r="G29" i="3"/>
  <c r="G28" i="3"/>
  <c r="G27" i="3"/>
  <c r="G26" i="3"/>
  <c r="G25" i="3"/>
  <c r="G24" i="3"/>
  <c r="G23" i="3"/>
  <c r="G22" i="3"/>
  <c r="G21" i="3"/>
  <c r="G20" i="3"/>
  <c r="C21" i="3"/>
  <c r="C22" i="3"/>
  <c r="C3" i="3"/>
  <c r="C30" i="3"/>
  <c r="C29" i="3"/>
  <c r="C28" i="3"/>
  <c r="C27" i="3"/>
  <c r="C26" i="3"/>
  <c r="C25" i="3"/>
  <c r="C24" i="3"/>
  <c r="C23" i="3"/>
  <c r="C20" i="3"/>
  <c r="E23" i="6"/>
  <c r="E24" i="6"/>
  <c r="E25" i="6"/>
  <c r="E26" i="6"/>
  <c r="E27" i="6"/>
  <c r="E28" i="6"/>
  <c r="E29" i="6"/>
  <c r="E30" i="6"/>
  <c r="E31" i="6"/>
  <c r="E32" i="6"/>
  <c r="E33" i="6"/>
  <c r="C33" i="6"/>
  <c r="C32" i="6"/>
  <c r="C31" i="6"/>
  <c r="C30" i="6"/>
  <c r="C29" i="6"/>
  <c r="C28" i="6"/>
  <c r="C27" i="6"/>
  <c r="C26" i="6"/>
  <c r="C25" i="6"/>
  <c r="C24" i="6"/>
  <c r="C23" i="6"/>
  <c r="O117" i="2"/>
  <c r="O116" i="2"/>
  <c r="O115" i="2"/>
  <c r="P115" i="2" s="1"/>
  <c r="K117" i="2"/>
  <c r="K116" i="2"/>
  <c r="K115" i="2"/>
  <c r="L115" i="2" s="1"/>
  <c r="G117" i="2"/>
  <c r="G116" i="2"/>
  <c r="G115" i="2"/>
  <c r="H115" i="2" s="1"/>
  <c r="C117" i="2"/>
  <c r="C116" i="2"/>
  <c r="C115" i="2"/>
  <c r="D115" i="2" s="1"/>
  <c r="C55" i="2"/>
  <c r="C9" i="3" s="1"/>
  <c r="W97" i="2"/>
  <c r="W96" i="2"/>
  <c r="W95" i="2"/>
  <c r="X95" i="2" s="1"/>
  <c r="S97" i="2"/>
  <c r="S96" i="2"/>
  <c r="S95" i="2"/>
  <c r="T95" i="2" s="1"/>
  <c r="O97" i="2"/>
  <c r="O96" i="2"/>
  <c r="O95" i="2"/>
  <c r="P95" i="2" s="1"/>
  <c r="K97" i="2"/>
  <c r="K96" i="2"/>
  <c r="K95" i="2"/>
  <c r="L95" i="2" s="1"/>
  <c r="G97" i="2"/>
  <c r="G96" i="2"/>
  <c r="G95" i="2"/>
  <c r="H95" i="2" s="1"/>
  <c r="C97" i="2"/>
  <c r="C96" i="2"/>
  <c r="C95" i="2"/>
  <c r="D95" i="2" s="1"/>
  <c r="W124" i="2"/>
  <c r="X124" i="2" s="1"/>
  <c r="W125" i="2"/>
  <c r="W76" i="2"/>
  <c r="S76" i="2"/>
  <c r="G19" i="3" s="1"/>
  <c r="O76" i="2"/>
  <c r="G18" i="3" s="1"/>
  <c r="K76" i="2"/>
  <c r="G17" i="3" s="1"/>
  <c r="G76" i="2"/>
  <c r="G16" i="3" s="1"/>
  <c r="C76" i="2"/>
  <c r="G15" i="3" s="1"/>
  <c r="W56" i="2"/>
  <c r="G14" i="3" s="1"/>
  <c r="S56" i="2"/>
  <c r="G13" i="3" s="1"/>
  <c r="O56" i="2"/>
  <c r="G12" i="3" s="1"/>
  <c r="K56" i="2"/>
  <c r="G11" i="3" s="1"/>
  <c r="G56" i="2"/>
  <c r="G10" i="3" s="1"/>
  <c r="C56" i="2"/>
  <c r="G9" i="3" s="1"/>
  <c r="O36" i="2"/>
  <c r="G6" i="3" s="1"/>
  <c r="S36" i="2"/>
  <c r="G7" i="3" s="1"/>
  <c r="W36" i="2"/>
  <c r="G8" i="3" s="1"/>
  <c r="W75" i="2"/>
  <c r="S75" i="2"/>
  <c r="C19" i="3" s="1"/>
  <c r="O75" i="2"/>
  <c r="C18" i="3" s="1"/>
  <c r="K75" i="2"/>
  <c r="C17" i="3" s="1"/>
  <c r="G75" i="2"/>
  <c r="C16" i="3" s="1"/>
  <c r="C75" i="2"/>
  <c r="C15" i="3" s="1"/>
  <c r="W55" i="2"/>
  <c r="X55" i="2" s="1"/>
  <c r="S55" i="2"/>
  <c r="T55" i="2" s="1"/>
  <c r="O55" i="2"/>
  <c r="C12" i="3" s="1"/>
  <c r="G55" i="2"/>
  <c r="C10" i="3" s="1"/>
  <c r="K55" i="2"/>
  <c r="C11" i="3" s="1"/>
  <c r="K57" i="2"/>
  <c r="C14" i="6" s="1"/>
  <c r="E14" i="6" s="1"/>
  <c r="W126" i="2"/>
  <c r="S126" i="2"/>
  <c r="S125" i="2"/>
  <c r="S124" i="2"/>
  <c r="T124" i="2" s="1"/>
  <c r="K134" i="2"/>
  <c r="O134" i="2"/>
  <c r="O133" i="2"/>
  <c r="O132" i="2"/>
  <c r="P132" i="2" s="1"/>
  <c r="K133" i="2"/>
  <c r="K132" i="2"/>
  <c r="L132" i="2" s="1"/>
  <c r="G132" i="2"/>
  <c r="H132" i="2" s="1"/>
  <c r="G134" i="2"/>
  <c r="G133" i="2"/>
  <c r="C132" i="2"/>
  <c r="D132" i="2" s="1"/>
  <c r="C134" i="2"/>
  <c r="C133" i="2"/>
  <c r="W77" i="2"/>
  <c r="S77" i="2"/>
  <c r="C22" i="6" s="1"/>
  <c r="E22" i="6" s="1"/>
  <c r="O77" i="2"/>
  <c r="C21" i="6" s="1"/>
  <c r="E21" i="6" s="1"/>
  <c r="K77" i="2"/>
  <c r="C20" i="6" s="1"/>
  <c r="E20" i="6" s="1"/>
  <c r="G77" i="2"/>
  <c r="C19" i="6" s="1"/>
  <c r="E19" i="6" s="1"/>
  <c r="C77" i="2"/>
  <c r="C18" i="6" s="1"/>
  <c r="E18" i="6" s="1"/>
  <c r="W57" i="2"/>
  <c r="C17" i="6" s="1"/>
  <c r="E17" i="6" s="1"/>
  <c r="S57" i="2"/>
  <c r="C16" i="6" s="1"/>
  <c r="E16" i="6" s="1"/>
  <c r="O57" i="2"/>
  <c r="C15" i="6" s="1"/>
  <c r="E15" i="6" s="1"/>
  <c r="G57" i="2"/>
  <c r="C13" i="6" s="1"/>
  <c r="E13" i="6" s="1"/>
  <c r="W37" i="2"/>
  <c r="C11" i="6" s="1"/>
  <c r="E11" i="6" s="1"/>
  <c r="C57" i="2"/>
  <c r="C12" i="6" s="1"/>
  <c r="E12" i="6" s="1"/>
  <c r="W35" i="2"/>
  <c r="X35" i="2" s="1"/>
  <c r="S35" i="2"/>
  <c r="C7" i="3" s="1"/>
  <c r="S37" i="2"/>
  <c r="C10" i="6" s="1"/>
  <c r="E10" i="6" s="1"/>
  <c r="O35" i="2"/>
  <c r="P35" i="2" s="1"/>
  <c r="O37" i="2"/>
  <c r="C9" i="6" s="1"/>
  <c r="E9" i="6" s="1"/>
  <c r="K37" i="2"/>
  <c r="C8" i="6" s="1"/>
  <c r="E8" i="6" s="1"/>
  <c r="K36" i="2"/>
  <c r="G5" i="3" s="1"/>
  <c r="C36" i="2"/>
  <c r="G3" i="3" s="1"/>
  <c r="C35" i="2"/>
  <c r="D35" i="2" s="1"/>
  <c r="G36" i="2"/>
  <c r="G4" i="3" s="1"/>
  <c r="G37" i="2"/>
  <c r="C7" i="6" s="1"/>
  <c r="E7" i="6" s="1"/>
  <c r="G35" i="2"/>
  <c r="C4" i="3" s="1"/>
  <c r="C37" i="2"/>
  <c r="C6" i="6" s="1"/>
  <c r="E6" i="6" s="1"/>
  <c r="K35" i="2"/>
  <c r="C5" i="3" s="1"/>
  <c r="P75" i="2" l="1"/>
  <c r="X75" i="2"/>
  <c r="L75" i="2"/>
  <c r="D55" i="2"/>
  <c r="P55" i="2"/>
  <c r="H55" i="2"/>
  <c r="T35" i="2"/>
  <c r="L55" i="2"/>
  <c r="C13" i="3"/>
  <c r="C14" i="3"/>
  <c r="H75" i="2"/>
  <c r="T75" i="2"/>
  <c r="C8" i="3"/>
  <c r="R128" i="2"/>
  <c r="D75" i="2"/>
  <c r="R129" i="2"/>
  <c r="C6" i="3"/>
  <c r="L35" i="2"/>
  <c r="H35" i="2"/>
  <c r="R130" i="2" l="1"/>
  <c r="R131" i="2"/>
</calcChain>
</file>

<file path=xl/sharedStrings.xml><?xml version="1.0" encoding="utf-8"?>
<sst xmlns="http://schemas.openxmlformats.org/spreadsheetml/2006/main" count="403" uniqueCount="48">
  <si>
    <t>Month</t>
  </si>
  <si>
    <t>Amount</t>
  </si>
  <si>
    <t>Laptop</t>
  </si>
  <si>
    <t>Wifi</t>
  </si>
  <si>
    <t>Gloan</t>
  </si>
  <si>
    <t>Tala</t>
  </si>
  <si>
    <t>UnoB Loan</t>
  </si>
  <si>
    <t>Sloan</t>
  </si>
  <si>
    <t>FT Lending</t>
  </si>
  <si>
    <t>Billease ni lovey</t>
  </si>
  <si>
    <t>Billease</t>
  </si>
  <si>
    <t>Ggives</t>
  </si>
  <si>
    <t>Ggives 2</t>
  </si>
  <si>
    <t>Spaylater</t>
  </si>
  <si>
    <t>Tiktok Pay</t>
  </si>
  <si>
    <t>Tiktok Loan</t>
  </si>
  <si>
    <t>Maribank</t>
  </si>
  <si>
    <t>Braces Adj</t>
  </si>
  <si>
    <t>Xiaomi 15t</t>
  </si>
  <si>
    <t>iPhone 17</t>
  </si>
  <si>
    <t>iPhone 16</t>
  </si>
  <si>
    <t>Braces adj</t>
  </si>
  <si>
    <t>Skyro</t>
  </si>
  <si>
    <t>Billease ni mama</t>
  </si>
  <si>
    <t>TiktokPay</t>
  </si>
  <si>
    <t>TiktokLoan</t>
  </si>
  <si>
    <t xml:space="preserve">Laptop  </t>
  </si>
  <si>
    <t xml:space="preserve">Wifi </t>
  </si>
  <si>
    <t>Progress</t>
  </si>
  <si>
    <t>Remaining Balance</t>
  </si>
  <si>
    <t>Total Payment</t>
  </si>
  <si>
    <t>Total Balance</t>
  </si>
  <si>
    <t>Date</t>
  </si>
  <si>
    <t>Remaining Debt</t>
  </si>
  <si>
    <t>Paid</t>
  </si>
  <si>
    <t>Total Debt</t>
  </si>
  <si>
    <t>Total Paid</t>
  </si>
  <si>
    <t>Data Progress</t>
  </si>
  <si>
    <t>DTI Ratio</t>
  </si>
  <si>
    <t>Month/Date</t>
  </si>
  <si>
    <t>Total Monthly Debt</t>
  </si>
  <si>
    <t>Monthly Income</t>
  </si>
  <si>
    <t>Goal</t>
  </si>
  <si>
    <t>Xiaomi 15T</t>
  </si>
  <si>
    <t>Calamity Loan</t>
  </si>
  <si>
    <t>Payment</t>
  </si>
  <si>
    <t>Salary Loan</t>
  </si>
  <si>
    <r>
      <t xml:space="preserve">                     </t>
    </r>
    <r>
      <rPr>
        <b/>
        <sz val="24"/>
        <color rgb="FF3F3F3F"/>
        <rFont val="Calibri"/>
        <family val="2"/>
        <scheme val="minor"/>
      </rPr>
      <t xml:space="preserve">                                                             Friah's Debt Tracker - YEAR 2026</t>
    </r>
    <r>
      <rPr>
        <b/>
        <sz val="11"/>
        <color rgb="FF3F3F3F"/>
        <rFont val="Calibri"/>
        <family val="2"/>
        <scheme val="minor"/>
      </rPr>
      <t xml:space="preserve"> </t>
    </r>
    <r>
      <rPr>
        <b/>
        <sz val="24"/>
        <color rgb="FF3F3F3F"/>
        <rFont val="Calibri"/>
        <family val="2"/>
        <scheme val="minor"/>
      </rPr>
      <t xml:space="preserve">- </t>
    </r>
    <r>
      <rPr>
        <b/>
        <sz val="26"/>
        <color rgb="FF3F3F3F"/>
        <rFont val="Calibri"/>
        <family val="2"/>
        <scheme val="minor"/>
      </rPr>
      <t xml:space="preserve">mid </t>
    </r>
    <r>
      <rPr>
        <b/>
        <sz val="24"/>
        <color rgb="FF3F3F3F"/>
        <rFont val="Calibri"/>
        <family val="2"/>
        <scheme val="minor"/>
      </rPr>
      <t>2027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</si>
</sst>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₱&quot;* #,##0_-;\-&quot;₱&quot;* #,##0_-;_-&quot;₱&quot;* &quot;-&quot;_-;_-@_-"/>
    <numFmt numFmtId="44" formatCode="_-&quot;₱&quot;* #,##0.00_-;\-&quot;₱&quot;* #,##0.00_-;_-&quot;₱&quot;* &quot;-&quot;??_-;_-@_-"/>
    <numFmt numFmtId="164" formatCode="_(&quot;$&quot;* #,##0.00_);_(&quot;$&quot;* \(#,##0.00\);_(&quot;$&quot;* &quot;-&quot;??_);_(@_)"/>
    <numFmt numFmtId="165" formatCode="[$-409]mmmm\ d\,\ yyyy;@"/>
    <numFmt numFmtId="166" formatCode="_-[$₱-464]* #,##0.00_-;\-[$₱-464]* #,##0.00_-;_-[$₱-464]* &quot;-&quot;??_-;_-@_-"/>
    <numFmt numFmtId="167" formatCode="_-[$₱-3409]* #,##0.00_-;\-[$₱-3409]* #,##0.00_-;_-[$₱-3409]* &quot;-&quot;??_-;_-@_-"/>
    <numFmt numFmtId="168" formatCode="[$-3409]mmmm\ dd\,\ yy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rgb="FF3F3F3F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26"/>
      <color rgb="FF3F3F3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medium">
        <color theme="4" tint="0.39997558519241921"/>
      </top>
      <bottom/>
      <diagonal/>
    </border>
    <border>
      <left/>
      <right style="thin">
        <color indexed="64"/>
      </right>
      <top style="medium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3" fillId="4" borderId="10" applyNumberFormat="0" applyAlignment="0" applyProtection="0"/>
    <xf numFmtId="0" fontId="1" fillId="8" borderId="0" applyNumberFormat="0" applyBorder="0" applyAlignment="0" applyProtection="0"/>
    <xf numFmtId="0" fontId="7" fillId="0" borderId="15" applyNumberFormat="0" applyFill="0" applyAlignment="0" applyProtection="0"/>
  </cellStyleXfs>
  <cellXfs count="86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4" xfId="0" applyBorder="1"/>
    <xf numFmtId="0" fontId="0" fillId="0" borderId="0" xfId="0" applyAlignment="1">
      <alignment horizontal="center"/>
    </xf>
    <xf numFmtId="166" fontId="0" fillId="0" borderId="1" xfId="0" applyNumberFormat="1" applyBorder="1"/>
    <xf numFmtId="0" fontId="0" fillId="0" borderId="5" xfId="0" applyBorder="1" applyAlignment="1">
      <alignment horizontal="left"/>
    </xf>
    <xf numFmtId="166" fontId="0" fillId="0" borderId="0" xfId="0" applyNumberFormat="1"/>
    <xf numFmtId="0" fontId="0" fillId="0" borderId="5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1" xfId="0" applyBorder="1"/>
    <xf numFmtId="0" fontId="4" fillId="0" borderId="3" xfId="0" applyFont="1" applyBorder="1"/>
    <xf numFmtId="0" fontId="4" fillId="0" borderId="12" xfId="0" applyFont="1" applyBorder="1"/>
    <xf numFmtId="0" fontId="4" fillId="0" borderId="8" xfId="0" applyFont="1" applyBorder="1"/>
    <xf numFmtId="0" fontId="0" fillId="0" borderId="1" xfId="0" applyBorder="1" applyAlignment="1">
      <alignment horizontal="center"/>
    </xf>
    <xf numFmtId="42" fontId="0" fillId="0" borderId="1" xfId="0" applyNumberFormat="1" applyBorder="1"/>
    <xf numFmtId="42" fontId="0" fillId="0" borderId="11" xfId="0" applyNumberFormat="1" applyBorder="1"/>
    <xf numFmtId="42" fontId="0" fillId="0" borderId="1" xfId="1" applyNumberFormat="1" applyFont="1" applyBorder="1"/>
    <xf numFmtId="42" fontId="0" fillId="0" borderId="6" xfId="0" applyNumberFormat="1" applyBorder="1"/>
    <xf numFmtId="42" fontId="0" fillId="0" borderId="6" xfId="1" applyNumberFormat="1" applyFont="1" applyBorder="1"/>
    <xf numFmtId="42" fontId="0" fillId="0" borderId="11" xfId="1" applyNumberFormat="1" applyFont="1" applyBorder="1"/>
    <xf numFmtId="165" fontId="4" fillId="3" borderId="2" xfId="0" applyNumberFormat="1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165" fontId="4" fillId="7" borderId="2" xfId="0" applyNumberFormat="1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42" fontId="0" fillId="0" borderId="0" xfId="0" applyNumberFormat="1"/>
    <xf numFmtId="42" fontId="4" fillId="0" borderId="8" xfId="0" applyNumberFormat="1" applyFont="1" applyBorder="1"/>
    <xf numFmtId="42" fontId="4" fillId="0" borderId="3" xfId="0" applyNumberFormat="1" applyFont="1" applyBorder="1"/>
    <xf numFmtId="42" fontId="4" fillId="0" borderId="12" xfId="0" applyNumberFormat="1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66" fontId="0" fillId="0" borderId="1" xfId="0" applyNumberFormat="1" applyBorder="1" applyAlignment="1">
      <alignment horizontal="center"/>
    </xf>
    <xf numFmtId="16" fontId="0" fillId="0" borderId="0" xfId="0" applyNumberFormat="1"/>
    <xf numFmtId="9" fontId="0" fillId="0" borderId="0" xfId="0" applyNumberFormat="1"/>
    <xf numFmtId="42" fontId="0" fillId="0" borderId="1" xfId="1" applyNumberFormat="1" applyFont="1" applyBorder="1" applyAlignment="1">
      <alignment horizontal="center"/>
    </xf>
    <xf numFmtId="42" fontId="0" fillId="0" borderId="9" xfId="0" applyNumberFormat="1" applyBorder="1"/>
    <xf numFmtId="42" fontId="0" fillId="0" borderId="5" xfId="0" applyNumberForma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2" fontId="0" fillId="0" borderId="7" xfId="0" applyNumberForma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42" fontId="0" fillId="0" borderId="7" xfId="0" applyNumberFormat="1" applyBorder="1" applyAlignment="1">
      <alignment horizontal="center"/>
    </xf>
    <xf numFmtId="42" fontId="0" fillId="0" borderId="6" xfId="0" applyNumberFormat="1" applyBorder="1" applyAlignment="1">
      <alignment horizontal="center"/>
    </xf>
    <xf numFmtId="42" fontId="0" fillId="0" borderId="0" xfId="0" applyNumberFormat="1" applyAlignment="1">
      <alignment horizontal="center"/>
    </xf>
    <xf numFmtId="42" fontId="0" fillId="0" borderId="5" xfId="0" applyNumberForma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42" fontId="0" fillId="0" borderId="5" xfId="0" applyNumberFormat="1" applyBorder="1" applyAlignment="1">
      <alignment horizontal="center"/>
    </xf>
    <xf numFmtId="42" fontId="0" fillId="0" borderId="1" xfId="0" applyNumberFormat="1" applyBorder="1" applyAlignment="1">
      <alignment horizontal="center"/>
    </xf>
    <xf numFmtId="42" fontId="4" fillId="0" borderId="5" xfId="0" applyNumberFormat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8" borderId="0" xfId="3" applyBorder="1" applyAlignment="1">
      <alignment vertical="center"/>
    </xf>
    <xf numFmtId="0" fontId="1" fillId="8" borderId="0" xfId="3" applyBorder="1"/>
    <xf numFmtId="165" fontId="7" fillId="2" borderId="15" xfId="4" applyNumberFormat="1" applyFill="1" applyAlignment="1">
      <alignment horizontal="center"/>
    </xf>
    <xf numFmtId="0" fontId="7" fillId="2" borderId="15" xfId="4" applyFill="1" applyAlignment="1">
      <alignment horizontal="center"/>
    </xf>
    <xf numFmtId="0" fontId="7" fillId="2" borderId="15" xfId="4" applyFill="1"/>
    <xf numFmtId="0" fontId="0" fillId="0" borderId="17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42" fontId="0" fillId="0" borderId="17" xfId="0" applyNumberFormat="1" applyBorder="1"/>
    <xf numFmtId="168" fontId="0" fillId="0" borderId="16" xfId="0" applyNumberFormat="1" applyBorder="1" applyAlignment="1">
      <alignment horizontal="left"/>
    </xf>
    <xf numFmtId="168" fontId="0" fillId="0" borderId="5" xfId="0" applyNumberFormat="1" applyBorder="1" applyAlignment="1">
      <alignment horizontal="left"/>
    </xf>
    <xf numFmtId="44" fontId="0" fillId="0" borderId="17" xfId="0" applyNumberFormat="1" applyBorder="1"/>
    <xf numFmtId="44" fontId="0" fillId="0" borderId="1" xfId="0" applyNumberFormat="1" applyBorder="1"/>
    <xf numFmtId="167" fontId="0" fillId="0" borderId="17" xfId="1" applyNumberFormat="1" applyFont="1" applyBorder="1"/>
    <xf numFmtId="167" fontId="0" fillId="0" borderId="1" xfId="1" applyNumberFormat="1" applyFont="1" applyBorder="1"/>
    <xf numFmtId="168" fontId="0" fillId="0" borderId="4" xfId="0" applyNumberFormat="1" applyBorder="1" applyAlignment="1">
      <alignment horizontal="left"/>
    </xf>
    <xf numFmtId="165" fontId="7" fillId="9" borderId="15" xfId="4" applyNumberFormat="1" applyFill="1" applyAlignment="1">
      <alignment horizontal="center"/>
    </xf>
    <xf numFmtId="0" fontId="7" fillId="9" borderId="15" xfId="4" applyFill="1" applyAlignment="1">
      <alignment horizontal="center"/>
    </xf>
    <xf numFmtId="0" fontId="7" fillId="9" borderId="15" xfId="4" applyFill="1"/>
    <xf numFmtId="165" fontId="7" fillId="3" borderId="15" xfId="4" applyNumberFormat="1" applyFill="1" applyAlignment="1">
      <alignment horizontal="center"/>
    </xf>
    <xf numFmtId="0" fontId="7" fillId="3" borderId="15" xfId="4" applyFill="1" applyAlignment="1">
      <alignment horizontal="center"/>
    </xf>
    <xf numFmtId="0" fontId="7" fillId="3" borderId="15" xfId="4" applyFill="1"/>
    <xf numFmtId="42" fontId="0" fillId="0" borderId="18" xfId="0" applyNumberFormat="1" applyBorder="1"/>
    <xf numFmtId="9" fontId="0" fillId="0" borderId="18" xfId="0" applyNumberFormat="1" applyBorder="1"/>
    <xf numFmtId="0" fontId="0" fillId="0" borderId="18" xfId="0" applyBorder="1"/>
    <xf numFmtId="165" fontId="6" fillId="7" borderId="2" xfId="0" applyNumberFormat="1" applyFont="1" applyFill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2" fontId="4" fillId="0" borderId="7" xfId="0" applyNumberFormat="1" applyFont="1" applyBorder="1" applyAlignment="1">
      <alignment horizontal="center" vertical="center"/>
    </xf>
    <xf numFmtId="42" fontId="4" fillId="0" borderId="5" xfId="0" applyNumberFormat="1" applyFont="1" applyBorder="1" applyAlignment="1">
      <alignment horizontal="center" vertical="center"/>
    </xf>
    <xf numFmtId="42" fontId="4" fillId="0" borderId="4" xfId="0" applyNumberFormat="1" applyFont="1" applyBorder="1" applyAlignment="1">
      <alignment horizontal="center" vertical="center"/>
    </xf>
    <xf numFmtId="0" fontId="3" fillId="10" borderId="10" xfId="2" applyFill="1" applyAlignment="1">
      <alignment horizontal="center"/>
    </xf>
    <xf numFmtId="0" fontId="3" fillId="10" borderId="14" xfId="2" applyFill="1" applyBorder="1" applyAlignment="1">
      <alignment horizontal="center"/>
    </xf>
    <xf numFmtId="0" fontId="3" fillId="10" borderId="0" xfId="2" applyFill="1" applyBorder="1" applyAlignment="1">
      <alignment horizontal="center"/>
    </xf>
    <xf numFmtId="0" fontId="3" fillId="10" borderId="13" xfId="2" applyFill="1" applyBorder="1" applyAlignment="1">
      <alignment horizontal="center"/>
    </xf>
    <xf numFmtId="166" fontId="4" fillId="0" borderId="7" xfId="0" applyNumberFormat="1" applyFont="1" applyBorder="1" applyAlignment="1">
      <alignment horizontal="center" vertical="center"/>
    </xf>
    <xf numFmtId="166" fontId="4" fillId="0" borderId="5" xfId="0" applyNumberFormat="1" applyFont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</cellXfs>
  <cellStyles count="5">
    <cellStyle name="20% - Accent1" xfId="3" builtinId="30"/>
    <cellStyle name="Currency" xfId="1" builtinId="4"/>
    <cellStyle name="Heading 3" xfId="4" builtinId="18"/>
    <cellStyle name="Normal" xfId="0" builtinId="0"/>
    <cellStyle name="Output" xfId="2" builtinId="21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ED2FC"/>
      <color rgb="FFD682D8"/>
      <color rgb="FF99DBB7"/>
      <color rgb="FF419E34"/>
      <color rgb="FF5B7C56"/>
      <color rgb="FFE1E193"/>
      <color rgb="FFAEBE14"/>
      <color rgb="FFEBF74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Debt Reduction Progress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33842504160591"/>
          <c:y val="0.15789796510476942"/>
          <c:w val="0.84599108038324466"/>
          <c:h val="0.79676458733186684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Sheet1!$B$3:$B$30</c:f>
              <c:numCache>
                <c:formatCode>d\-mmm</c:formatCode>
                <c:ptCount val="28"/>
                <c:pt idx="0">
                  <c:v>46068</c:v>
                </c:pt>
                <c:pt idx="1">
                  <c:v>46081</c:v>
                </c:pt>
                <c:pt idx="2">
                  <c:v>46096</c:v>
                </c:pt>
                <c:pt idx="3">
                  <c:v>46111</c:v>
                </c:pt>
                <c:pt idx="4">
                  <c:v>46127</c:v>
                </c:pt>
                <c:pt idx="5">
                  <c:v>46142</c:v>
                </c:pt>
                <c:pt idx="6">
                  <c:v>46157</c:v>
                </c:pt>
                <c:pt idx="7">
                  <c:v>46172</c:v>
                </c:pt>
                <c:pt idx="8">
                  <c:v>46188</c:v>
                </c:pt>
                <c:pt idx="9">
                  <c:v>46203</c:v>
                </c:pt>
                <c:pt idx="10">
                  <c:v>46218</c:v>
                </c:pt>
                <c:pt idx="11">
                  <c:v>46233</c:v>
                </c:pt>
                <c:pt idx="12">
                  <c:v>46249</c:v>
                </c:pt>
                <c:pt idx="13">
                  <c:v>46264</c:v>
                </c:pt>
                <c:pt idx="14">
                  <c:v>46280</c:v>
                </c:pt>
                <c:pt idx="15">
                  <c:v>46295</c:v>
                </c:pt>
                <c:pt idx="16">
                  <c:v>46310</c:v>
                </c:pt>
                <c:pt idx="17">
                  <c:v>46325</c:v>
                </c:pt>
                <c:pt idx="18">
                  <c:v>46341</c:v>
                </c:pt>
                <c:pt idx="19">
                  <c:v>46356</c:v>
                </c:pt>
                <c:pt idx="20">
                  <c:v>46371</c:v>
                </c:pt>
                <c:pt idx="21">
                  <c:v>46386</c:v>
                </c:pt>
                <c:pt idx="22">
                  <c:v>46402</c:v>
                </c:pt>
                <c:pt idx="23">
                  <c:v>46417</c:v>
                </c:pt>
                <c:pt idx="24">
                  <c:v>46433</c:v>
                </c:pt>
                <c:pt idx="25">
                  <c:v>46446</c:v>
                </c:pt>
                <c:pt idx="26">
                  <c:v>46461</c:v>
                </c:pt>
                <c:pt idx="27">
                  <c:v>46476</c:v>
                </c:pt>
              </c:numCache>
            </c:numRef>
          </c:cat>
          <c:val>
            <c:numRef>
              <c:f>Sheet1!$C$3:$C$30</c:f>
              <c:numCache>
                <c:formatCode>_("₱"* #,##0_);_("₱"* \(#,##0\);_("₱"* "-"_);_(@_)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15284</c:v>
                </c:pt>
                <c:pt idx="8">
                  <c:v>12012</c:v>
                </c:pt>
                <c:pt idx="9">
                  <c:v>14694</c:v>
                </c:pt>
                <c:pt idx="10">
                  <c:v>12012</c:v>
                </c:pt>
                <c:pt idx="11">
                  <c:v>14385</c:v>
                </c:pt>
                <c:pt idx="12">
                  <c:v>10075</c:v>
                </c:pt>
                <c:pt idx="13">
                  <c:v>7067</c:v>
                </c:pt>
                <c:pt idx="14">
                  <c:v>6304</c:v>
                </c:pt>
                <c:pt idx="15">
                  <c:v>7067</c:v>
                </c:pt>
                <c:pt idx="16">
                  <c:v>6304</c:v>
                </c:pt>
                <c:pt idx="17">
                  <c:v>7067</c:v>
                </c:pt>
                <c:pt idx="18">
                  <c:v>6304</c:v>
                </c:pt>
                <c:pt idx="19">
                  <c:v>7067</c:v>
                </c:pt>
                <c:pt idx="20">
                  <c:v>4110</c:v>
                </c:pt>
                <c:pt idx="21">
                  <c:v>3443</c:v>
                </c:pt>
                <c:pt idx="22">
                  <c:v>1694</c:v>
                </c:pt>
                <c:pt idx="23">
                  <c:v>3443</c:v>
                </c:pt>
                <c:pt idx="24">
                  <c:v>1694</c:v>
                </c:pt>
                <c:pt idx="25">
                  <c:v>3443</c:v>
                </c:pt>
                <c:pt idx="26">
                  <c:v>1694</c:v>
                </c:pt>
                <c:pt idx="27">
                  <c:v>1749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7A-4B59-AF76-B13072F83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27462480"/>
        <c:axId val="1927479280"/>
      </c:barChart>
      <c:valAx>
        <c:axId val="1927479280"/>
        <c:scaling>
          <c:orientation val="minMax"/>
        </c:scaling>
        <c:delete val="0"/>
        <c:axPos val="l"/>
        <c:numFmt formatCode="_(&quot;₱&quot;* #,##0_);_(&quot;₱&quot;* \(#,##0\);_(&quot;₱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462480"/>
        <c:crosses val="autoZero"/>
        <c:crossBetween val="between"/>
      </c:valAx>
      <c:dateAx>
        <c:axId val="19274624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479280"/>
        <c:crosses val="autoZero"/>
        <c:auto val="1"/>
        <c:lblOffset val="100"/>
        <c:baseTimeUnit val="days"/>
      </c:date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Payments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Sheet1!$F$3</c:f>
              <c:strCache>
                <c:ptCount val="1"/>
                <c:pt idx="0">
                  <c:v>15-Feb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Sheet1!$G$2</c:f>
              <c:strCache>
                <c:ptCount val="1"/>
                <c:pt idx="0">
                  <c:v>Paid</c:v>
                </c:pt>
              </c:strCache>
            </c:strRef>
          </c:cat>
          <c:val>
            <c:numRef>
              <c:f>Sheet1!$G$3</c:f>
              <c:numCache>
                <c:formatCode>_("₱"* #,##0_);_("₱"* \(#,##0\);_("₱"* "-"_);_(@_)</c:formatCode>
                <c:ptCount val="1"/>
                <c:pt idx="0">
                  <c:v>14636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26-4AEB-9AFE-D0D23723FF8F}"/>
            </c:ext>
          </c:extLst>
        </c:ser>
        <c:ser>
          <c:idx val="1"/>
          <c:order val="1"/>
          <c:tx>
            <c:strRef>
              <c:f>Sheet1!$F$4</c:f>
              <c:strCache>
                <c:ptCount val="1"/>
                <c:pt idx="0">
                  <c:v>28-Feb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Sheet1!$G$2</c:f>
              <c:strCache>
                <c:ptCount val="1"/>
                <c:pt idx="0">
                  <c:v>Paid</c:v>
                </c:pt>
              </c:strCache>
            </c:strRef>
          </c:cat>
          <c:val>
            <c:numRef>
              <c:f>Sheet1!$G$4</c:f>
              <c:numCache>
                <c:formatCode>_("₱"* #,##0_);_("₱"* \(#,##0\);_("₱"* "-"_);_(@_)</c:formatCode>
                <c:ptCount val="1"/>
                <c:pt idx="0">
                  <c:v>17346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26-4AEB-9AFE-D0D23723FF8F}"/>
            </c:ext>
          </c:extLst>
        </c:ser>
        <c:ser>
          <c:idx val="2"/>
          <c:order val="2"/>
          <c:tx>
            <c:strRef>
              <c:f>Sheet1!$F$5</c:f>
              <c:strCache>
                <c:ptCount val="1"/>
                <c:pt idx="0">
                  <c:v>15-Mar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Sheet1!$G$2</c:f>
              <c:strCache>
                <c:ptCount val="1"/>
                <c:pt idx="0">
                  <c:v>Paid</c:v>
                </c:pt>
              </c:strCache>
            </c:strRef>
          </c:cat>
          <c:val>
            <c:numRef>
              <c:f>Sheet1!$G$5</c:f>
              <c:numCache>
                <c:formatCode>_("₱"* #,##0_);_("₱"* \(#,##0\);_("₱"* "-"_);_(@_)</c:formatCode>
                <c:ptCount val="1"/>
                <c:pt idx="0">
                  <c:v>15147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26-4AEB-9AFE-D0D23723FF8F}"/>
            </c:ext>
          </c:extLst>
        </c:ser>
        <c:ser>
          <c:idx val="3"/>
          <c:order val="3"/>
          <c:tx>
            <c:strRef>
              <c:f>Sheet1!$F$6</c:f>
              <c:strCache>
                <c:ptCount val="1"/>
                <c:pt idx="0">
                  <c:v>30-Mar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Sheet1!$G$2</c:f>
              <c:strCache>
                <c:ptCount val="1"/>
                <c:pt idx="0">
                  <c:v>Paid</c:v>
                </c:pt>
              </c:strCache>
            </c:strRef>
          </c:cat>
          <c:val>
            <c:numRef>
              <c:f>Sheet1!$G$6</c:f>
              <c:numCache>
                <c:formatCode>_("₱"* #,##0_);_("₱"* \(#,##0\);_("₱"* "-"_);_(@_)</c:formatCode>
                <c:ptCount val="1"/>
                <c:pt idx="0">
                  <c:v>17098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26-4AEB-9AFE-D0D23723FF8F}"/>
            </c:ext>
          </c:extLst>
        </c:ser>
        <c:ser>
          <c:idx val="4"/>
          <c:order val="4"/>
          <c:tx>
            <c:strRef>
              <c:f>Sheet1!$F$7</c:f>
              <c:strCache>
                <c:ptCount val="1"/>
                <c:pt idx="0">
                  <c:v>15-Apr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Sheet1!$G$2</c:f>
              <c:strCache>
                <c:ptCount val="1"/>
                <c:pt idx="0">
                  <c:v>Paid</c:v>
                </c:pt>
              </c:strCache>
            </c:strRef>
          </c:cat>
          <c:val>
            <c:numRef>
              <c:f>Sheet1!$G$7</c:f>
              <c:numCache>
                <c:formatCode>_("₱"* #,##0_);_("₱"* \(#,##0\);_("₱"* "-"_);_(@_)</c:formatCode>
                <c:ptCount val="1"/>
                <c:pt idx="0">
                  <c:v>16235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26-4AEB-9AFE-D0D23723FF8F}"/>
            </c:ext>
          </c:extLst>
        </c:ser>
        <c:ser>
          <c:idx val="5"/>
          <c:order val="5"/>
          <c:tx>
            <c:strRef>
              <c:f>Sheet1!$F$8</c:f>
              <c:strCache>
                <c:ptCount val="1"/>
                <c:pt idx="0">
                  <c:v>30-Apr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Sheet1!$G$2</c:f>
              <c:strCache>
                <c:ptCount val="1"/>
                <c:pt idx="0">
                  <c:v>Paid</c:v>
                </c:pt>
              </c:strCache>
            </c:strRef>
          </c:cat>
          <c:val>
            <c:numRef>
              <c:f>Sheet1!$G$8</c:f>
              <c:numCache>
                <c:formatCode>_("₱"* #,##0_);_("₱"* \(#,##0\);_("₱"* "-"_);_(@_)</c:formatCode>
                <c:ptCount val="1"/>
                <c:pt idx="0">
                  <c:v>20814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BA-4A6E-BB49-00FE90B7B2CD}"/>
            </c:ext>
          </c:extLst>
        </c:ser>
        <c:ser>
          <c:idx val="6"/>
          <c:order val="6"/>
          <c:tx>
            <c:strRef>
              <c:f>Sheet1!$F$9</c:f>
              <c:strCache>
                <c:ptCount val="1"/>
                <c:pt idx="0">
                  <c:v>15-May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hade val="51000"/>
                    <a:satMod val="130000"/>
                  </a:schemeClr>
                </a:gs>
                <a:gs pos="80000">
                  <a:schemeClr val="accent1">
                    <a:lumMod val="60000"/>
                    <a:shade val="93000"/>
                    <a:satMod val="130000"/>
                  </a:schemeClr>
                </a:gs>
                <a:gs pos="100000">
                  <a:schemeClr val="accent1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Sheet1!$G$2</c:f>
              <c:strCache>
                <c:ptCount val="1"/>
                <c:pt idx="0">
                  <c:v>Paid</c:v>
                </c:pt>
              </c:strCache>
            </c:strRef>
          </c:cat>
          <c:val>
            <c:numRef>
              <c:f>Sheet1!$G$9</c:f>
              <c:numCache>
                <c:formatCode>_("₱"* #,##0_);_("₱"* \(#,##0\);_("₱"* "-"_);_(@_)</c:formatCode>
                <c:ptCount val="1"/>
                <c:pt idx="0">
                  <c:v>13907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BA-4A6E-BB49-00FE90B7B2CD}"/>
            </c:ext>
          </c:extLst>
        </c:ser>
        <c:ser>
          <c:idx val="7"/>
          <c:order val="7"/>
          <c:tx>
            <c:strRef>
              <c:f>Sheet1!$F$10</c:f>
              <c:strCache>
                <c:ptCount val="1"/>
                <c:pt idx="0">
                  <c:v>30-May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hade val="51000"/>
                    <a:satMod val="130000"/>
                  </a:schemeClr>
                </a:gs>
                <a:gs pos="80000">
                  <a:schemeClr val="accent2">
                    <a:lumMod val="60000"/>
                    <a:shade val="93000"/>
                    <a:satMod val="130000"/>
                  </a:schemeClr>
                </a:gs>
                <a:gs pos="100000">
                  <a:schemeClr val="accent2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Sheet1!$G$2</c:f>
              <c:strCache>
                <c:ptCount val="1"/>
                <c:pt idx="0">
                  <c:v>Paid</c:v>
                </c:pt>
              </c:strCache>
            </c:strRef>
          </c:cat>
          <c:val>
            <c:numRef>
              <c:f>Sheet1!$G$10</c:f>
              <c:numCache>
                <c:formatCode>_("₱"* #,##0_);_("₱"* \(#,##0\);_("₱"*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BA-4A6E-BB49-00FE90B7B2CD}"/>
            </c:ext>
          </c:extLst>
        </c:ser>
        <c:ser>
          <c:idx val="8"/>
          <c:order val="8"/>
          <c:tx>
            <c:strRef>
              <c:f>Sheet1!$F$11</c:f>
              <c:strCache>
                <c:ptCount val="1"/>
                <c:pt idx="0">
                  <c:v>15-Jun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hade val="51000"/>
                    <a:satMod val="130000"/>
                  </a:schemeClr>
                </a:gs>
                <a:gs pos="80000">
                  <a:schemeClr val="accent3">
                    <a:lumMod val="60000"/>
                    <a:shade val="93000"/>
                    <a:satMod val="130000"/>
                  </a:schemeClr>
                </a:gs>
                <a:gs pos="100000">
                  <a:schemeClr val="accent3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Sheet1!$G$2</c:f>
              <c:strCache>
                <c:ptCount val="1"/>
                <c:pt idx="0">
                  <c:v>Paid</c:v>
                </c:pt>
              </c:strCache>
            </c:strRef>
          </c:cat>
          <c:val>
            <c:numRef>
              <c:f>Sheet1!$G$11</c:f>
              <c:numCache>
                <c:formatCode>_("₱"* #,##0_);_("₱"* \(#,##0\);_("₱"*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BA-4A6E-BB49-00FE90B7B2CD}"/>
            </c:ext>
          </c:extLst>
        </c:ser>
        <c:ser>
          <c:idx val="9"/>
          <c:order val="9"/>
          <c:tx>
            <c:strRef>
              <c:f>Sheet1!$F$12</c:f>
              <c:strCache>
                <c:ptCount val="1"/>
                <c:pt idx="0">
                  <c:v>30-Jun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hade val="51000"/>
                    <a:satMod val="130000"/>
                  </a:schemeClr>
                </a:gs>
                <a:gs pos="80000">
                  <a:schemeClr val="accent4">
                    <a:lumMod val="60000"/>
                    <a:shade val="93000"/>
                    <a:satMod val="130000"/>
                  </a:schemeClr>
                </a:gs>
                <a:gs pos="100000">
                  <a:schemeClr val="accent4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Sheet1!$G$2</c:f>
              <c:strCache>
                <c:ptCount val="1"/>
                <c:pt idx="0">
                  <c:v>Paid</c:v>
                </c:pt>
              </c:strCache>
            </c:strRef>
          </c:cat>
          <c:val>
            <c:numRef>
              <c:f>Sheet1!$G$12</c:f>
              <c:numCache>
                <c:formatCode>_("₱"* #,##0_);_("₱"* \(#,##0\);_("₱"*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BA-4A6E-BB49-00FE90B7B2CD}"/>
            </c:ext>
          </c:extLst>
        </c:ser>
        <c:ser>
          <c:idx val="10"/>
          <c:order val="10"/>
          <c:tx>
            <c:strRef>
              <c:f>Sheet1!$F$13</c:f>
              <c:strCache>
                <c:ptCount val="1"/>
                <c:pt idx="0">
                  <c:v>15-Jul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hade val="51000"/>
                    <a:satMod val="130000"/>
                  </a:schemeClr>
                </a:gs>
                <a:gs pos="80000">
                  <a:schemeClr val="accent5">
                    <a:lumMod val="60000"/>
                    <a:shade val="93000"/>
                    <a:satMod val="130000"/>
                  </a:schemeClr>
                </a:gs>
                <a:gs pos="100000">
                  <a:schemeClr val="accent5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Sheet1!$G$2</c:f>
              <c:strCache>
                <c:ptCount val="1"/>
                <c:pt idx="0">
                  <c:v>Paid</c:v>
                </c:pt>
              </c:strCache>
            </c:strRef>
          </c:cat>
          <c:val>
            <c:numRef>
              <c:f>Sheet1!$G$13</c:f>
              <c:numCache>
                <c:formatCode>_("₱"* #,##0_);_("₱"* \(#,##0\);_("₱"*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BBA-4A6E-BB49-00FE90B7B2CD}"/>
            </c:ext>
          </c:extLst>
        </c:ser>
        <c:ser>
          <c:idx val="11"/>
          <c:order val="11"/>
          <c:tx>
            <c:strRef>
              <c:f>Sheet1!$F$14</c:f>
              <c:strCache>
                <c:ptCount val="1"/>
                <c:pt idx="0">
                  <c:v>30-Jul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hade val="51000"/>
                    <a:satMod val="130000"/>
                  </a:schemeClr>
                </a:gs>
                <a:gs pos="80000">
                  <a:schemeClr val="accent6">
                    <a:lumMod val="60000"/>
                    <a:shade val="93000"/>
                    <a:satMod val="130000"/>
                  </a:schemeClr>
                </a:gs>
                <a:gs pos="100000">
                  <a:schemeClr val="accent6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Sheet1!$G$2</c:f>
              <c:strCache>
                <c:ptCount val="1"/>
                <c:pt idx="0">
                  <c:v>Paid</c:v>
                </c:pt>
              </c:strCache>
            </c:strRef>
          </c:cat>
          <c:val>
            <c:numRef>
              <c:f>Sheet1!$G$14</c:f>
              <c:numCache>
                <c:formatCode>_("₱"* #,##0_);_("₱"* \(#,##0\);_("₱"*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BBA-4A6E-BB49-00FE90B7B2CD}"/>
            </c:ext>
          </c:extLst>
        </c:ser>
        <c:ser>
          <c:idx val="12"/>
          <c:order val="12"/>
          <c:tx>
            <c:strRef>
              <c:f>Sheet1!$F$15</c:f>
              <c:strCache>
                <c:ptCount val="1"/>
                <c:pt idx="0">
                  <c:v>15-Aug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1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1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Sheet1!$G$2</c:f>
              <c:strCache>
                <c:ptCount val="1"/>
                <c:pt idx="0">
                  <c:v>Paid</c:v>
                </c:pt>
              </c:strCache>
            </c:strRef>
          </c:cat>
          <c:val>
            <c:numRef>
              <c:f>Sheet1!$G$15</c:f>
              <c:numCache>
                <c:formatCode>_("₱"* #,##0_);_("₱"* \(#,##0\);_("₱"*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BBA-4A6E-BB49-00FE90B7B2CD}"/>
            </c:ext>
          </c:extLst>
        </c:ser>
        <c:ser>
          <c:idx val="13"/>
          <c:order val="13"/>
          <c:tx>
            <c:strRef>
              <c:f>Sheet1!$F$16</c:f>
              <c:strCache>
                <c:ptCount val="1"/>
                <c:pt idx="0">
                  <c:v>30-Aug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2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2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Sheet1!$G$2</c:f>
              <c:strCache>
                <c:ptCount val="1"/>
                <c:pt idx="0">
                  <c:v>Paid</c:v>
                </c:pt>
              </c:strCache>
            </c:strRef>
          </c:cat>
          <c:val>
            <c:numRef>
              <c:f>Sheet1!$G$16</c:f>
              <c:numCache>
                <c:formatCode>_("₱"* #,##0_);_("₱"* \(#,##0\);_("₱"*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BBA-4A6E-BB49-00FE90B7B2CD}"/>
            </c:ext>
          </c:extLst>
        </c:ser>
        <c:ser>
          <c:idx val="14"/>
          <c:order val="14"/>
          <c:tx>
            <c:strRef>
              <c:f>Sheet1!$F$17</c:f>
              <c:strCache>
                <c:ptCount val="1"/>
                <c:pt idx="0">
                  <c:v>15-Sep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3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3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Sheet1!$G$2</c:f>
              <c:strCache>
                <c:ptCount val="1"/>
                <c:pt idx="0">
                  <c:v>Paid</c:v>
                </c:pt>
              </c:strCache>
            </c:strRef>
          </c:cat>
          <c:val>
            <c:numRef>
              <c:f>Sheet1!$G$17</c:f>
              <c:numCache>
                <c:formatCode>_("₱"* #,##0_);_("₱"* \(#,##0\);_("₱"*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BBA-4A6E-BB49-00FE90B7B2CD}"/>
            </c:ext>
          </c:extLst>
        </c:ser>
        <c:ser>
          <c:idx val="15"/>
          <c:order val="15"/>
          <c:tx>
            <c:strRef>
              <c:f>Sheet1!$F$18</c:f>
              <c:strCache>
                <c:ptCount val="1"/>
                <c:pt idx="0">
                  <c:v>30-Sep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4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4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Sheet1!$G$2</c:f>
              <c:strCache>
                <c:ptCount val="1"/>
                <c:pt idx="0">
                  <c:v>Paid</c:v>
                </c:pt>
              </c:strCache>
            </c:strRef>
          </c:cat>
          <c:val>
            <c:numRef>
              <c:f>Sheet1!$G$18</c:f>
              <c:numCache>
                <c:formatCode>_("₱"* #,##0_);_("₱"* \(#,##0\);_("₱"*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BBA-4A6E-BB49-00FE90B7B2CD}"/>
            </c:ext>
          </c:extLst>
        </c:ser>
        <c:ser>
          <c:idx val="16"/>
          <c:order val="16"/>
          <c:tx>
            <c:strRef>
              <c:f>Sheet1!$F$19</c:f>
              <c:strCache>
                <c:ptCount val="1"/>
                <c:pt idx="0">
                  <c:v>15-Oct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5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5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Sheet1!$G$2</c:f>
              <c:strCache>
                <c:ptCount val="1"/>
                <c:pt idx="0">
                  <c:v>Paid</c:v>
                </c:pt>
              </c:strCache>
            </c:strRef>
          </c:cat>
          <c:val>
            <c:numRef>
              <c:f>Sheet1!$G$19</c:f>
              <c:numCache>
                <c:formatCode>_("₱"* #,##0_);_("₱"* \(#,##0\);_("₱"*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BBA-4A6E-BB49-00FE90B7B2CD}"/>
            </c:ext>
          </c:extLst>
        </c:ser>
        <c:ser>
          <c:idx val="17"/>
          <c:order val="17"/>
          <c:tx>
            <c:strRef>
              <c:f>Sheet1!$F$20</c:f>
              <c:strCache>
                <c:ptCount val="1"/>
                <c:pt idx="0">
                  <c:v>30-Oct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6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6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Sheet1!$G$2</c:f>
              <c:strCache>
                <c:ptCount val="1"/>
                <c:pt idx="0">
                  <c:v>Paid</c:v>
                </c:pt>
              </c:strCache>
            </c:strRef>
          </c:cat>
          <c:val>
            <c:numRef>
              <c:f>Sheet1!$G$20</c:f>
              <c:numCache>
                <c:formatCode>_("₱"* #,##0_);_("₱"* \(#,##0\);_("₱"*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BBA-4A6E-BB49-00FE90B7B2CD}"/>
            </c:ext>
          </c:extLst>
        </c:ser>
        <c:ser>
          <c:idx val="18"/>
          <c:order val="18"/>
          <c:tx>
            <c:strRef>
              <c:f>Sheet1!$F$21</c:f>
              <c:strCache>
                <c:ptCount val="1"/>
                <c:pt idx="0">
                  <c:v>15-Nov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shade val="51000"/>
                    <a:satMod val="130000"/>
                  </a:schemeClr>
                </a:gs>
                <a:gs pos="80000">
                  <a:schemeClr val="accent1">
                    <a:lumMod val="80000"/>
                    <a:shade val="93000"/>
                    <a:satMod val="130000"/>
                  </a:schemeClr>
                </a:gs>
                <a:gs pos="100000">
                  <a:schemeClr val="accent1">
                    <a:lumMod val="8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Sheet1!$G$2</c:f>
              <c:strCache>
                <c:ptCount val="1"/>
                <c:pt idx="0">
                  <c:v>Paid</c:v>
                </c:pt>
              </c:strCache>
            </c:strRef>
          </c:cat>
          <c:val>
            <c:numRef>
              <c:f>Sheet1!$G$21</c:f>
              <c:numCache>
                <c:formatCode>_("₱"* #,##0_);_("₱"* \(#,##0\);_("₱"*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BBA-4A6E-BB49-00FE90B7B2CD}"/>
            </c:ext>
          </c:extLst>
        </c:ser>
        <c:ser>
          <c:idx val="19"/>
          <c:order val="19"/>
          <c:tx>
            <c:strRef>
              <c:f>Sheet1!$F$22</c:f>
              <c:strCache>
                <c:ptCount val="1"/>
                <c:pt idx="0">
                  <c:v>30-Nov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shade val="51000"/>
                    <a:satMod val="130000"/>
                  </a:schemeClr>
                </a:gs>
                <a:gs pos="80000">
                  <a:schemeClr val="accent2">
                    <a:lumMod val="80000"/>
                    <a:shade val="93000"/>
                    <a:satMod val="130000"/>
                  </a:schemeClr>
                </a:gs>
                <a:gs pos="100000">
                  <a:schemeClr val="accent2">
                    <a:lumMod val="8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Sheet1!$G$2</c:f>
              <c:strCache>
                <c:ptCount val="1"/>
                <c:pt idx="0">
                  <c:v>Paid</c:v>
                </c:pt>
              </c:strCache>
            </c:strRef>
          </c:cat>
          <c:val>
            <c:numRef>
              <c:f>Sheet1!$G$22</c:f>
              <c:numCache>
                <c:formatCode>_("₱"* #,##0_);_("₱"* \(#,##0\);_("₱"*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BBA-4A6E-BB49-00FE90B7B2CD}"/>
            </c:ext>
          </c:extLst>
        </c:ser>
        <c:ser>
          <c:idx val="20"/>
          <c:order val="20"/>
          <c:tx>
            <c:strRef>
              <c:f>Sheet1!$F$23</c:f>
              <c:strCache>
                <c:ptCount val="1"/>
                <c:pt idx="0">
                  <c:v>15-Dec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shade val="51000"/>
                    <a:satMod val="130000"/>
                  </a:schemeClr>
                </a:gs>
                <a:gs pos="80000">
                  <a:schemeClr val="accent3">
                    <a:lumMod val="80000"/>
                    <a:shade val="93000"/>
                    <a:satMod val="130000"/>
                  </a:schemeClr>
                </a:gs>
                <a:gs pos="100000">
                  <a:schemeClr val="accent3">
                    <a:lumMod val="8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Sheet1!$G$2</c:f>
              <c:strCache>
                <c:ptCount val="1"/>
                <c:pt idx="0">
                  <c:v>Paid</c:v>
                </c:pt>
              </c:strCache>
            </c:strRef>
          </c:cat>
          <c:val>
            <c:numRef>
              <c:f>Sheet1!$G$23</c:f>
              <c:numCache>
                <c:formatCode>_("₱"* #,##0_);_("₱"* \(#,##0\);_("₱"*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BBA-4A6E-BB49-00FE90B7B2CD}"/>
            </c:ext>
          </c:extLst>
        </c:ser>
        <c:ser>
          <c:idx val="21"/>
          <c:order val="21"/>
          <c:tx>
            <c:strRef>
              <c:f>Sheet1!$F$24</c:f>
              <c:strCache>
                <c:ptCount val="1"/>
                <c:pt idx="0">
                  <c:v>30-Dec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shade val="51000"/>
                    <a:satMod val="130000"/>
                  </a:schemeClr>
                </a:gs>
                <a:gs pos="80000">
                  <a:schemeClr val="accent4">
                    <a:lumMod val="80000"/>
                    <a:shade val="93000"/>
                    <a:satMod val="130000"/>
                  </a:schemeClr>
                </a:gs>
                <a:gs pos="100000">
                  <a:schemeClr val="accent4">
                    <a:lumMod val="8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Sheet1!$G$2</c:f>
              <c:strCache>
                <c:ptCount val="1"/>
                <c:pt idx="0">
                  <c:v>Paid</c:v>
                </c:pt>
              </c:strCache>
            </c:strRef>
          </c:cat>
          <c:val>
            <c:numRef>
              <c:f>Sheet1!$G$24</c:f>
              <c:numCache>
                <c:formatCode>_("₱"* #,##0_);_("₱"* \(#,##0\);_("₱"*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BBA-4A6E-BB49-00FE90B7B2CD}"/>
            </c:ext>
          </c:extLst>
        </c:ser>
        <c:ser>
          <c:idx val="22"/>
          <c:order val="22"/>
          <c:tx>
            <c:strRef>
              <c:f>Sheet1!$F$25</c:f>
              <c:strCache>
                <c:ptCount val="1"/>
                <c:pt idx="0">
                  <c:v>15-Jan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shade val="51000"/>
                    <a:satMod val="130000"/>
                  </a:schemeClr>
                </a:gs>
                <a:gs pos="80000">
                  <a:schemeClr val="accent5">
                    <a:lumMod val="80000"/>
                    <a:shade val="93000"/>
                    <a:satMod val="130000"/>
                  </a:schemeClr>
                </a:gs>
                <a:gs pos="100000">
                  <a:schemeClr val="accent5">
                    <a:lumMod val="8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Sheet1!$G$2</c:f>
              <c:strCache>
                <c:ptCount val="1"/>
                <c:pt idx="0">
                  <c:v>Paid</c:v>
                </c:pt>
              </c:strCache>
            </c:strRef>
          </c:cat>
          <c:val>
            <c:numRef>
              <c:f>Sheet1!$G$25</c:f>
              <c:numCache>
                <c:formatCode>_("₱"* #,##0_);_("₱"* \(#,##0\);_("₱"*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BBA-4A6E-BB49-00FE90B7B2CD}"/>
            </c:ext>
          </c:extLst>
        </c:ser>
        <c:ser>
          <c:idx val="23"/>
          <c:order val="23"/>
          <c:tx>
            <c:strRef>
              <c:f>Sheet1!$F$26</c:f>
              <c:strCache>
                <c:ptCount val="1"/>
                <c:pt idx="0">
                  <c:v>30-Jan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shade val="51000"/>
                    <a:satMod val="130000"/>
                  </a:schemeClr>
                </a:gs>
                <a:gs pos="80000">
                  <a:schemeClr val="accent6">
                    <a:lumMod val="80000"/>
                    <a:shade val="93000"/>
                    <a:satMod val="130000"/>
                  </a:schemeClr>
                </a:gs>
                <a:gs pos="100000">
                  <a:schemeClr val="accent6">
                    <a:lumMod val="8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Sheet1!$G$2</c:f>
              <c:strCache>
                <c:ptCount val="1"/>
                <c:pt idx="0">
                  <c:v>Paid</c:v>
                </c:pt>
              </c:strCache>
            </c:strRef>
          </c:cat>
          <c:val>
            <c:numRef>
              <c:f>Sheet1!$G$26</c:f>
              <c:numCache>
                <c:formatCode>_("₱"* #,##0_);_("₱"* \(#,##0\);_("₱"*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BBA-4A6E-BB49-00FE90B7B2CD}"/>
            </c:ext>
          </c:extLst>
        </c:ser>
        <c:ser>
          <c:idx val="24"/>
          <c:order val="24"/>
          <c:tx>
            <c:strRef>
              <c:f>Sheet1!$F$27</c:f>
              <c:strCache>
                <c:ptCount val="1"/>
                <c:pt idx="0">
                  <c:v>15-Feb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Off val="40000"/>
                    <a:shade val="51000"/>
                    <a:satMod val="130000"/>
                  </a:schemeClr>
                </a:gs>
                <a:gs pos="80000">
                  <a:schemeClr val="accent1">
                    <a:lumMod val="60000"/>
                    <a:lumOff val="40000"/>
                    <a:shade val="93000"/>
                    <a:satMod val="130000"/>
                  </a:schemeClr>
                </a:gs>
                <a:gs pos="100000">
                  <a:schemeClr val="accent1">
                    <a:lumMod val="60000"/>
                    <a:lumOff val="4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Sheet1!$G$2</c:f>
              <c:strCache>
                <c:ptCount val="1"/>
                <c:pt idx="0">
                  <c:v>Paid</c:v>
                </c:pt>
              </c:strCache>
            </c:strRef>
          </c:cat>
          <c:val>
            <c:numRef>
              <c:f>Sheet1!$G$27</c:f>
              <c:numCache>
                <c:formatCode>_("₱"* #,##0_);_("₱"* \(#,##0\);_("₱"*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BBA-4A6E-BB49-00FE90B7B2CD}"/>
            </c:ext>
          </c:extLst>
        </c:ser>
        <c:ser>
          <c:idx val="25"/>
          <c:order val="25"/>
          <c:tx>
            <c:strRef>
              <c:f>Sheet1!$F$28</c:f>
              <c:strCache>
                <c:ptCount val="1"/>
                <c:pt idx="0">
                  <c:v>28-Feb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Off val="40000"/>
                    <a:shade val="51000"/>
                    <a:satMod val="130000"/>
                  </a:schemeClr>
                </a:gs>
                <a:gs pos="80000">
                  <a:schemeClr val="accent2">
                    <a:lumMod val="60000"/>
                    <a:lumOff val="40000"/>
                    <a:shade val="93000"/>
                    <a:satMod val="130000"/>
                  </a:schemeClr>
                </a:gs>
                <a:gs pos="100000">
                  <a:schemeClr val="accent2">
                    <a:lumMod val="60000"/>
                    <a:lumOff val="4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Sheet1!$G$2</c:f>
              <c:strCache>
                <c:ptCount val="1"/>
                <c:pt idx="0">
                  <c:v>Paid</c:v>
                </c:pt>
              </c:strCache>
            </c:strRef>
          </c:cat>
          <c:val>
            <c:numRef>
              <c:f>Sheet1!$G$28</c:f>
              <c:numCache>
                <c:formatCode>_("₱"* #,##0_);_("₱"* \(#,##0\);_("₱"*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BBA-4A6E-BB49-00FE90B7B2CD}"/>
            </c:ext>
          </c:extLst>
        </c:ser>
        <c:ser>
          <c:idx val="26"/>
          <c:order val="26"/>
          <c:tx>
            <c:strRef>
              <c:f>Sheet1!$F$29</c:f>
              <c:strCache>
                <c:ptCount val="1"/>
                <c:pt idx="0">
                  <c:v>15-Mar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Off val="40000"/>
                    <a:shade val="51000"/>
                    <a:satMod val="130000"/>
                  </a:schemeClr>
                </a:gs>
                <a:gs pos="80000">
                  <a:schemeClr val="accent3">
                    <a:lumMod val="60000"/>
                    <a:lumOff val="40000"/>
                    <a:shade val="93000"/>
                    <a:satMod val="130000"/>
                  </a:schemeClr>
                </a:gs>
                <a:gs pos="100000">
                  <a:schemeClr val="accent3">
                    <a:lumMod val="60000"/>
                    <a:lumOff val="4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Sheet1!$G$2</c:f>
              <c:strCache>
                <c:ptCount val="1"/>
                <c:pt idx="0">
                  <c:v>Paid</c:v>
                </c:pt>
              </c:strCache>
            </c:strRef>
          </c:cat>
          <c:val>
            <c:numRef>
              <c:f>Sheet1!$G$29</c:f>
              <c:numCache>
                <c:formatCode>_("₱"* #,##0_);_("₱"* \(#,##0\);_("₱"*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BBA-4A6E-BB49-00FE90B7B2CD}"/>
            </c:ext>
          </c:extLst>
        </c:ser>
        <c:ser>
          <c:idx val="27"/>
          <c:order val="27"/>
          <c:tx>
            <c:strRef>
              <c:f>Sheet1!$F$30</c:f>
              <c:strCache>
                <c:ptCount val="1"/>
                <c:pt idx="0">
                  <c:v>30-Mar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Off val="40000"/>
                    <a:shade val="51000"/>
                    <a:satMod val="130000"/>
                  </a:schemeClr>
                </a:gs>
                <a:gs pos="80000">
                  <a:schemeClr val="accent4">
                    <a:lumMod val="60000"/>
                    <a:lumOff val="40000"/>
                    <a:shade val="93000"/>
                    <a:satMod val="130000"/>
                  </a:schemeClr>
                </a:gs>
                <a:gs pos="100000">
                  <a:schemeClr val="accent4">
                    <a:lumMod val="60000"/>
                    <a:lumOff val="4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Sheet1!$G$2</c:f>
              <c:strCache>
                <c:ptCount val="1"/>
                <c:pt idx="0">
                  <c:v>Paid</c:v>
                </c:pt>
              </c:strCache>
            </c:strRef>
          </c:cat>
          <c:val>
            <c:numRef>
              <c:f>Sheet1!$G$30</c:f>
              <c:numCache>
                <c:formatCode>_("₱"* #,##0_);_("₱"* \(#,##0\);_("₱"* "-"_);_(@_)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BBA-4A6E-BB49-00FE90B7B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27461520"/>
        <c:axId val="1927478320"/>
      </c:barChart>
      <c:catAx>
        <c:axId val="192746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478320"/>
        <c:crosses val="autoZero"/>
        <c:auto val="1"/>
        <c:lblAlgn val="ctr"/>
        <c:lblOffset val="100"/>
        <c:noMultiLvlLbl val="0"/>
      </c:catAx>
      <c:valAx>
        <c:axId val="1927478320"/>
        <c:scaling>
          <c:orientation val="minMax"/>
        </c:scaling>
        <c:delete val="0"/>
        <c:axPos val="l"/>
        <c:numFmt formatCode="_(&quot;₱&quot;* #,##0_);_(&quot;₱&quot;* \(#,##0\);_(&quot;₱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461520"/>
        <c:crosses val="autoZero"/>
        <c:crossBetween val="between"/>
      </c:valAx>
      <c:spPr>
        <a:noFill/>
        <a:ln>
          <a:solidFill>
            <a:schemeClr val="bg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3355-4361-98D9-81201819F4DF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355-4361-98D9-81201819F4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Tracker!$S$129:$S$130</c:f>
              <c:strCache>
                <c:ptCount val="2"/>
                <c:pt idx="0">
                  <c:v>Total Paid</c:v>
                </c:pt>
                <c:pt idx="1">
                  <c:v>Remaining Debt</c:v>
                </c:pt>
              </c:strCache>
            </c:strRef>
          </c:cat>
          <c:val>
            <c:numRef>
              <c:f>Tracker!$R$129:$R$130</c:f>
              <c:numCache>
                <c:formatCode>_("₱"* #,##0_);_("₱"* \(#,##0\);_("₱"* "-"_);_(@_)</c:formatCode>
                <c:ptCount val="2"/>
                <c:pt idx="0">
                  <c:v>115183</c:v>
                </c:pt>
                <c:pt idx="1">
                  <c:v>112271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55-4361-98D9-81201819F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l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Debt-to-Income Trend 2026-2027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'Summary of payments'!$E$5</c:f>
              <c:strCache>
                <c:ptCount val="1"/>
                <c:pt idx="0">
                  <c:v>DTI Ratio</c:v>
                </c:pt>
              </c:strCache>
            </c:strRef>
          </c:tx>
          <c:spPr>
            <a:ln w="34925" cap="rnd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'Summary of payments'!$B$5:$B$33</c:f>
              <c:strCache>
                <c:ptCount val="29"/>
                <c:pt idx="0">
                  <c:v>Month/Date</c:v>
                </c:pt>
                <c:pt idx="1">
                  <c:v>15-Feb</c:v>
                </c:pt>
                <c:pt idx="2">
                  <c:v>28-Feb</c:v>
                </c:pt>
                <c:pt idx="3">
                  <c:v>15-Mar</c:v>
                </c:pt>
                <c:pt idx="4">
                  <c:v>30-Mar</c:v>
                </c:pt>
                <c:pt idx="5">
                  <c:v>15-Apr</c:v>
                </c:pt>
                <c:pt idx="6">
                  <c:v>30-Apr</c:v>
                </c:pt>
                <c:pt idx="7">
                  <c:v>15-May</c:v>
                </c:pt>
                <c:pt idx="8">
                  <c:v>30-May</c:v>
                </c:pt>
                <c:pt idx="9">
                  <c:v>15-Jun</c:v>
                </c:pt>
                <c:pt idx="10">
                  <c:v>30-Jun</c:v>
                </c:pt>
                <c:pt idx="11">
                  <c:v>15-Jul</c:v>
                </c:pt>
                <c:pt idx="12">
                  <c:v>30-Jul</c:v>
                </c:pt>
                <c:pt idx="13">
                  <c:v>15-Aug</c:v>
                </c:pt>
                <c:pt idx="14">
                  <c:v>30-Aug</c:v>
                </c:pt>
                <c:pt idx="15">
                  <c:v>15-Sep</c:v>
                </c:pt>
                <c:pt idx="16">
                  <c:v>30-Sep</c:v>
                </c:pt>
                <c:pt idx="17">
                  <c:v>15-Oct</c:v>
                </c:pt>
                <c:pt idx="18">
                  <c:v>30-Oct</c:v>
                </c:pt>
                <c:pt idx="19">
                  <c:v>15-Nov</c:v>
                </c:pt>
                <c:pt idx="20">
                  <c:v>30-Nov</c:v>
                </c:pt>
                <c:pt idx="21">
                  <c:v>15-Dec</c:v>
                </c:pt>
                <c:pt idx="22">
                  <c:v>30-Dec</c:v>
                </c:pt>
                <c:pt idx="23">
                  <c:v>15-Jan</c:v>
                </c:pt>
                <c:pt idx="24">
                  <c:v>30-Jan</c:v>
                </c:pt>
                <c:pt idx="25">
                  <c:v>15-Feb</c:v>
                </c:pt>
                <c:pt idx="26">
                  <c:v>28-Feb</c:v>
                </c:pt>
                <c:pt idx="27">
                  <c:v>15-Mar</c:v>
                </c:pt>
                <c:pt idx="28">
                  <c:v>30-Mar</c:v>
                </c:pt>
              </c:strCache>
            </c:strRef>
          </c:cat>
          <c:val>
            <c:numRef>
              <c:f>'Summary of payments'!$E$5:$E$33</c:f>
              <c:numCache>
                <c:formatCode>0%</c:formatCode>
                <c:ptCount val="29"/>
                <c:pt idx="0" formatCode="General">
                  <c:v>0</c:v>
                </c:pt>
                <c:pt idx="1">
                  <c:v>1.2196666666666667</c:v>
                </c:pt>
                <c:pt idx="2">
                  <c:v>1.4455</c:v>
                </c:pt>
                <c:pt idx="3">
                  <c:v>1.2622500000000001</c:v>
                </c:pt>
                <c:pt idx="4">
                  <c:v>1.4248333333333334</c:v>
                </c:pt>
                <c:pt idx="5">
                  <c:v>1.3529166666666668</c:v>
                </c:pt>
                <c:pt idx="6">
                  <c:v>1.7344999999999999</c:v>
                </c:pt>
                <c:pt idx="7">
                  <c:v>1.1589166666666666</c:v>
                </c:pt>
                <c:pt idx="8">
                  <c:v>1.2736666666666667</c:v>
                </c:pt>
                <c:pt idx="9">
                  <c:v>1.0009999999999999</c:v>
                </c:pt>
                <c:pt idx="10">
                  <c:v>1.2244999999999999</c:v>
                </c:pt>
                <c:pt idx="11">
                  <c:v>1.0009999999999999</c:v>
                </c:pt>
                <c:pt idx="12">
                  <c:v>1.19875</c:v>
                </c:pt>
                <c:pt idx="13">
                  <c:v>0.83958333333333335</c:v>
                </c:pt>
                <c:pt idx="14">
                  <c:v>0.58891666666666664</c:v>
                </c:pt>
                <c:pt idx="15">
                  <c:v>0.52533333333333332</c:v>
                </c:pt>
                <c:pt idx="16">
                  <c:v>0.58891666666666664</c:v>
                </c:pt>
                <c:pt idx="17">
                  <c:v>0.52533333333333332</c:v>
                </c:pt>
                <c:pt idx="18">
                  <c:v>0.58891666666666664</c:v>
                </c:pt>
                <c:pt idx="19">
                  <c:v>0.52533333333333332</c:v>
                </c:pt>
                <c:pt idx="20">
                  <c:v>0.58891666666666664</c:v>
                </c:pt>
                <c:pt idx="21">
                  <c:v>0.34250000000000003</c:v>
                </c:pt>
                <c:pt idx="22">
                  <c:v>0.28691666666666665</c:v>
                </c:pt>
                <c:pt idx="23">
                  <c:v>0.14116666666666666</c:v>
                </c:pt>
                <c:pt idx="24">
                  <c:v>0.28691666666666665</c:v>
                </c:pt>
                <c:pt idx="25">
                  <c:v>0.14116666666666666</c:v>
                </c:pt>
                <c:pt idx="26">
                  <c:v>0.28691666666666665</c:v>
                </c:pt>
                <c:pt idx="27">
                  <c:v>0.14116666666666666</c:v>
                </c:pt>
                <c:pt idx="28">
                  <c:v>0.14574999999999999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58-4E56-BB50-37E037CE17A6}"/>
            </c:ext>
          </c:extLst>
        </c:ser>
        <c:ser>
          <c:idx val="1"/>
          <c:order val="1"/>
          <c:tx>
            <c:strRef>
              <c:f>'Summary of payments'!$F$5</c:f>
              <c:strCache>
                <c:ptCount val="1"/>
                <c:pt idx="0">
                  <c:v>Goal</c:v>
                </c:pt>
              </c:strCache>
            </c:strRef>
          </c:tx>
          <c:spPr>
            <a:ln w="34925" cap="rnd">
              <a:solidFill>
                <a:schemeClr val="accent2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Pt>
            <c:idx val="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prstDash val="solid"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E208-4AA5-B372-1331F7D9F64A}"/>
              </c:ext>
            </c:extLst>
          </c:dPt>
          <c:dLbls>
            <c:dLbl>
              <c:idx val="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158-4E56-BB50-37E037CE17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of payments'!$B$5:$B$33</c:f>
              <c:strCache>
                <c:ptCount val="29"/>
                <c:pt idx="0">
                  <c:v>Month/Date</c:v>
                </c:pt>
                <c:pt idx="1">
                  <c:v>15-Feb</c:v>
                </c:pt>
                <c:pt idx="2">
                  <c:v>28-Feb</c:v>
                </c:pt>
                <c:pt idx="3">
                  <c:v>15-Mar</c:v>
                </c:pt>
                <c:pt idx="4">
                  <c:v>30-Mar</c:v>
                </c:pt>
                <c:pt idx="5">
                  <c:v>15-Apr</c:v>
                </c:pt>
                <c:pt idx="6">
                  <c:v>30-Apr</c:v>
                </c:pt>
                <c:pt idx="7">
                  <c:v>15-May</c:v>
                </c:pt>
                <c:pt idx="8">
                  <c:v>30-May</c:v>
                </c:pt>
                <c:pt idx="9">
                  <c:v>15-Jun</c:v>
                </c:pt>
                <c:pt idx="10">
                  <c:v>30-Jun</c:v>
                </c:pt>
                <c:pt idx="11">
                  <c:v>15-Jul</c:v>
                </c:pt>
                <c:pt idx="12">
                  <c:v>30-Jul</c:v>
                </c:pt>
                <c:pt idx="13">
                  <c:v>15-Aug</c:v>
                </c:pt>
                <c:pt idx="14">
                  <c:v>30-Aug</c:v>
                </c:pt>
                <c:pt idx="15">
                  <c:v>15-Sep</c:v>
                </c:pt>
                <c:pt idx="16">
                  <c:v>30-Sep</c:v>
                </c:pt>
                <c:pt idx="17">
                  <c:v>15-Oct</c:v>
                </c:pt>
                <c:pt idx="18">
                  <c:v>30-Oct</c:v>
                </c:pt>
                <c:pt idx="19">
                  <c:v>15-Nov</c:v>
                </c:pt>
                <c:pt idx="20">
                  <c:v>30-Nov</c:v>
                </c:pt>
                <c:pt idx="21">
                  <c:v>15-Dec</c:v>
                </c:pt>
                <c:pt idx="22">
                  <c:v>30-Dec</c:v>
                </c:pt>
                <c:pt idx="23">
                  <c:v>15-Jan</c:v>
                </c:pt>
                <c:pt idx="24">
                  <c:v>30-Jan</c:v>
                </c:pt>
                <c:pt idx="25">
                  <c:v>15-Feb</c:v>
                </c:pt>
                <c:pt idx="26">
                  <c:v>28-Feb</c:v>
                </c:pt>
                <c:pt idx="27">
                  <c:v>15-Mar</c:v>
                </c:pt>
                <c:pt idx="28">
                  <c:v>30-Mar</c:v>
                </c:pt>
              </c:strCache>
            </c:strRef>
          </c:cat>
          <c:val>
            <c:numRef>
              <c:f>'Summary of payments'!$F$5:$F$33</c:f>
              <c:numCache>
                <c:formatCode>0%</c:formatCode>
                <c:ptCount val="29"/>
                <c:pt idx="0" formatCode="General">
                  <c:v>0</c:v>
                </c:pt>
                <c:pt idx="1">
                  <c:v>0.36</c:v>
                </c:pt>
                <c:pt idx="2">
                  <c:v>0.36</c:v>
                </c:pt>
                <c:pt idx="3">
                  <c:v>0.36</c:v>
                </c:pt>
                <c:pt idx="4">
                  <c:v>0.36</c:v>
                </c:pt>
                <c:pt idx="5">
                  <c:v>0.36</c:v>
                </c:pt>
                <c:pt idx="6">
                  <c:v>0.36</c:v>
                </c:pt>
                <c:pt idx="7">
                  <c:v>0.36</c:v>
                </c:pt>
                <c:pt idx="8">
                  <c:v>0.36</c:v>
                </c:pt>
                <c:pt idx="9">
                  <c:v>0.36</c:v>
                </c:pt>
                <c:pt idx="10">
                  <c:v>0.36</c:v>
                </c:pt>
                <c:pt idx="11">
                  <c:v>0.36</c:v>
                </c:pt>
                <c:pt idx="12">
                  <c:v>0.36</c:v>
                </c:pt>
                <c:pt idx="13">
                  <c:v>0.36</c:v>
                </c:pt>
                <c:pt idx="14">
                  <c:v>0.36</c:v>
                </c:pt>
                <c:pt idx="15">
                  <c:v>0.36</c:v>
                </c:pt>
                <c:pt idx="16">
                  <c:v>0.36</c:v>
                </c:pt>
                <c:pt idx="17">
                  <c:v>0.36</c:v>
                </c:pt>
                <c:pt idx="18">
                  <c:v>0.36</c:v>
                </c:pt>
                <c:pt idx="19">
                  <c:v>0.36</c:v>
                </c:pt>
                <c:pt idx="20">
                  <c:v>0.36</c:v>
                </c:pt>
                <c:pt idx="21">
                  <c:v>0.36</c:v>
                </c:pt>
                <c:pt idx="22">
                  <c:v>0.36</c:v>
                </c:pt>
                <c:pt idx="23">
                  <c:v>0.36</c:v>
                </c:pt>
                <c:pt idx="24">
                  <c:v>0.36</c:v>
                </c:pt>
                <c:pt idx="25">
                  <c:v>0.36</c:v>
                </c:pt>
                <c:pt idx="26">
                  <c:v>0.36</c:v>
                </c:pt>
                <c:pt idx="27">
                  <c:v>0.36</c:v>
                </c:pt>
                <c:pt idx="28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58-4E56-BB50-37E037CE17A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697835263"/>
        <c:axId val="1697836703"/>
      </c:lineChart>
      <c:dateAx>
        <c:axId val="1697835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836703"/>
        <c:crosses val="autoZero"/>
        <c:auto val="0"/>
        <c:lblOffset val="100"/>
        <c:baseTimeUnit val="days"/>
      </c:dateAx>
      <c:valAx>
        <c:axId val="1697836703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835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</xdr:colOff>
      <xdr:row>2</xdr:row>
      <xdr:rowOff>28575</xdr:rowOff>
    </xdr:from>
    <xdr:to>
      <xdr:col>6</xdr:col>
      <xdr:colOff>228601</xdr:colOff>
      <xdr:row>17</xdr:row>
      <xdr:rowOff>114301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8F7227-E263-41DD-BEDC-AAC92B8D2E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228601</xdr:colOff>
      <xdr:row>2</xdr:row>
      <xdr:rowOff>28575</xdr:rowOff>
    </xdr:from>
    <xdr:to>
      <xdr:col>13</xdr:col>
      <xdr:colOff>152401</xdr:colOff>
      <xdr:row>17</xdr:row>
      <xdr:rowOff>114301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9788DE0-650F-46B4-867E-5F1CBE5B2D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161925</xdr:colOff>
      <xdr:row>2</xdr:row>
      <xdr:rowOff>38101</xdr:rowOff>
    </xdr:from>
    <xdr:to>
      <xdr:col>18</xdr:col>
      <xdr:colOff>238126</xdr:colOff>
      <xdr:row>17</xdr:row>
      <xdr:rowOff>123825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AE0F4447-B0D3-DA3E-555A-FABDB61B49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238125</xdr:colOff>
      <xdr:row>2</xdr:row>
      <xdr:rowOff>19050</xdr:rowOff>
    </xdr:from>
    <xdr:to>
      <xdr:col>24</xdr:col>
      <xdr:colOff>0</xdr:colOff>
      <xdr:row>17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03ADE1-8EBF-446F-98D5-D2BAE9B59C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0.3779</cdr:x>
      <cdr:y>0.36498</cdr:y>
    </cdr:from>
    <cdr:to>
      <cdr:x>0.61923</cdr:x>
      <cdr:y>0.62783</cdr:y>
    </cdr:to>
    <cdr:sp macro="" textlink="Tracker!$R$131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4F5EA7E-BC97-6D2E-EB2A-95A4E53FFEB8}"/>
            </a:ext>
          </a:extLst>
        </cdr:cNvPr>
        <cdr:cNvSpPr txBox="1"/>
      </cdr:nvSpPr>
      <cdr:spPr>
        <a:xfrm xmlns:a="http://schemas.openxmlformats.org/drawingml/2006/main">
          <a:off x="1605376" y="1074218"/>
          <a:ext cx="1025207" cy="7736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742E8657-628E-4C31-A99A-2EC28148CB92}" type="TxLink">
            <a:rPr lang="en-US" sz="3600" b="1" i="0" u="none" strike="noStrike" kern="1200">
              <a:solidFill>
                <a:srgbClr val="000000"/>
              </a:solidFill>
              <a:latin typeface="Aptos Narrow"/>
            </a:rPr>
            <a:pPr algn="ctr"/>
            <a:t>51%</a:t>
          </a:fld>
          <a:endParaRPr lang="en-US" sz="3600" b="1" kern="1200"/>
        </a:p>
      </cdr:txBody>
    </cdr:sp>
  </cdr:relSizeAnchor>
  <cdr:relSizeAnchor xmlns:cdr="http://schemas.openxmlformats.org/drawingml/2006/chartDrawing">
    <cdr:from>
      <cdr:x>0.76827</cdr:x>
      <cdr:y>0.68608</cdr:y>
    </cdr:from>
    <cdr:to>
      <cdr:x>0.94843</cdr:x>
      <cdr:y>0.93528</cdr:y>
    </cdr:to>
    <cdr:sp macro="" textlink="Tracker!$R$128:$S$128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70C7D875-80F7-DBAD-917F-E4AAC16B6DEF}"/>
            </a:ext>
          </a:extLst>
        </cdr:cNvPr>
        <cdr:cNvSpPr txBox="1"/>
      </cdr:nvSpPr>
      <cdr:spPr>
        <a:xfrm xmlns:a="http://schemas.openxmlformats.org/drawingml/2006/main">
          <a:off x="3263741" y="2019295"/>
          <a:ext cx="765334" cy="733429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  <a:ln xmlns:a="http://schemas.openxmlformats.org/drawingml/2006/main"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63992D43-5384-4C77-8E08-A0048B8F836D}" type="TxLink">
            <a:rPr lang="en-US" sz="1100" b="1" i="0" u="none" strike="noStrike" kern="1200">
              <a:solidFill>
                <a:srgbClr val="000000"/>
              </a:solidFill>
              <a:latin typeface="Aptos Narrow"/>
            </a:rPr>
            <a:pPr algn="ctr"/>
            <a:t> ₱227,454 </a:t>
          </a:fld>
          <a:endParaRPr lang="en-US" sz="1100" b="1" kern="1200"/>
        </a:p>
      </cdr:txBody>
    </cdr:sp>
  </cdr:relSizeAnchor>
</c:userShape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A3F0AD-3467-42C7-9591-DFCEBFFDAA2D}" name="Table1" displayName="Table1" ref="B5:F33" headerRowCount="0" totalsRowShown="0">
  <tableColumns count="5">
    <tableColumn id="1" xr3:uid="{8BF660E8-3A85-415E-9376-0327EB6F4F73}" name="Column1" headerRowDxfId="0"/>
    <tableColumn id="2" xr3:uid="{2FF28BB4-93F6-4B84-8275-9D75F625607E}" name="Column2"/>
    <tableColumn id="4" xr3:uid="{7173FC29-89B9-4010-8A95-8B87781CDAAA}" name="Column4"/>
    <tableColumn id="5" xr3:uid="{B79B79B5-D012-4450-A746-B0CAD0C02681}" name="Column5">
      <calculatedColumnFormula>IFERROR(C5 / $D$7, 0)</calculatedColumnFormula>
    </tableColumn>
    <tableColumn id="6" xr3:uid="{929B513A-D337-4FED-AD73-321634E8FF2E}" name="Column6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Green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0112-6E2C-4761-9DAB-D7DC6B5F5C5D}">
  <sheetPr codeName="Sheet2"/>
  <dimension ref="A1:Z134"/>
  <sheetViews>
    <sheetView tabSelected="1" zoomScaleNormal="100" workbookViewId="0">
      <selection sqref="A1:S2"/>
    </sheetView>
  </sheetViews>
  <sheetFormatPr defaultRowHeight="15" x14ac:dyDescent="0.25"/>
  <cols>
    <col min="1" max="1" width="5.85546875" customWidth="1"/>
    <col min="2" max="2" width="18.28515625" customWidth="1"/>
    <col min="3" max="3" width="15" customWidth="1"/>
    <col min="4" max="4" width="8.85546875" customWidth="1"/>
    <col min="5" max="5" width="3.7109375" customWidth="1"/>
    <col min="6" max="6" width="19.7109375" customWidth="1"/>
    <col min="7" max="7" width="10.5703125" customWidth="1"/>
    <col min="8" max="8" width="8.85546875" customWidth="1"/>
    <col min="9" max="9" width="3.7109375" customWidth="1"/>
    <col min="10" max="10" width="19.7109375" customWidth="1"/>
    <col min="11" max="11" width="10.5703125" customWidth="1"/>
    <col min="12" max="12" width="8.85546875" customWidth="1"/>
    <col min="13" max="13" width="3.7109375" customWidth="1"/>
    <col min="14" max="14" width="19.7109375" customWidth="1"/>
    <col min="15" max="15" width="10.5703125" customWidth="1"/>
    <col min="16" max="16" width="8.85546875" customWidth="1"/>
    <col min="17" max="17" width="3.7109375" customWidth="1"/>
    <col min="18" max="18" width="19.7109375" customWidth="1"/>
    <col min="19" max="19" width="10.5703125" customWidth="1"/>
    <col min="20" max="20" width="8.85546875" customWidth="1"/>
    <col min="21" max="21" width="3.7109375" customWidth="1"/>
    <col min="22" max="22" width="19.7109375" customWidth="1"/>
    <col min="23" max="23" width="10.5703125" customWidth="1"/>
    <col min="24" max="25" width="8.85546875" customWidth="1"/>
    <col min="26" max="26" width="0.28515625" hidden="1" customWidth="1"/>
    <col min="27" max="27" width="0.42578125" customWidth="1"/>
  </cols>
  <sheetData>
    <row r="1" spans="1:25" ht="15" customHeight="1" x14ac:dyDescent="0.25">
      <c r="A1" s="79" t="s">
        <v>47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80"/>
      <c r="T1" s="81"/>
      <c r="U1" s="81"/>
      <c r="V1" s="81"/>
      <c r="W1" s="81"/>
      <c r="X1" s="81"/>
      <c r="Y1" s="81"/>
    </row>
    <row r="2" spans="1:25" ht="15" customHeight="1" x14ac:dyDescent="0.25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80"/>
      <c r="T2" s="82"/>
      <c r="U2" s="82"/>
      <c r="V2" s="82"/>
      <c r="W2" s="82"/>
      <c r="X2" s="82"/>
      <c r="Y2" s="82"/>
    </row>
    <row r="19" spans="2:24" x14ac:dyDescent="0.25">
      <c r="B19" s="22">
        <v>46068</v>
      </c>
      <c r="C19" s="23" t="s">
        <v>1</v>
      </c>
      <c r="D19" s="23" t="s">
        <v>28</v>
      </c>
      <c r="E19" s="4"/>
      <c r="F19" s="72">
        <v>46081</v>
      </c>
      <c r="G19" s="23" t="s">
        <v>1</v>
      </c>
      <c r="H19" s="23" t="s">
        <v>28</v>
      </c>
      <c r="I19" s="4"/>
      <c r="J19" s="20">
        <v>46096</v>
      </c>
      <c r="K19" s="21" t="s">
        <v>1</v>
      </c>
      <c r="L19" s="21" t="s">
        <v>28</v>
      </c>
      <c r="M19" s="4"/>
      <c r="N19" s="20">
        <v>46111</v>
      </c>
      <c r="O19" s="21" t="s">
        <v>1</v>
      </c>
      <c r="P19" s="21" t="s">
        <v>28</v>
      </c>
      <c r="Q19" s="4"/>
      <c r="R19" s="22">
        <v>46127</v>
      </c>
      <c r="S19" s="23" t="s">
        <v>1</v>
      </c>
      <c r="T19" s="23" t="s">
        <v>28</v>
      </c>
      <c r="U19" s="4"/>
      <c r="V19" s="22">
        <v>46142</v>
      </c>
      <c r="W19" s="23" t="s">
        <v>1</v>
      </c>
      <c r="X19" s="23" t="s">
        <v>28</v>
      </c>
    </row>
    <row r="20" spans="2:24" x14ac:dyDescent="0.25">
      <c r="B20" s="30" t="s">
        <v>2</v>
      </c>
      <c r="C20" s="38">
        <v>1875</v>
      </c>
      <c r="D20" s="39" t="b">
        <v>1</v>
      </c>
      <c r="E20" s="24"/>
      <c r="F20" s="40" t="s">
        <v>26</v>
      </c>
      <c r="G20" s="17">
        <v>1875</v>
      </c>
      <c r="H20" s="39" t="b">
        <v>1</v>
      </c>
      <c r="I20" s="24"/>
      <c r="J20" s="41" t="s">
        <v>2</v>
      </c>
      <c r="K20" s="42">
        <v>1875</v>
      </c>
      <c r="L20" s="40" t="b">
        <v>1</v>
      </c>
      <c r="M20" s="43"/>
      <c r="N20" s="41" t="s">
        <v>2</v>
      </c>
      <c r="O20" s="42">
        <v>1875</v>
      </c>
      <c r="P20" s="40" t="b">
        <v>1</v>
      </c>
      <c r="Q20" s="43"/>
      <c r="R20" s="41" t="s">
        <v>2</v>
      </c>
      <c r="S20" s="42">
        <v>1875</v>
      </c>
      <c r="T20" s="40" t="b">
        <v>1</v>
      </c>
      <c r="U20" s="43"/>
      <c r="V20" s="41" t="s">
        <v>2</v>
      </c>
      <c r="W20" s="42">
        <v>1875</v>
      </c>
      <c r="X20" s="32" t="b">
        <v>1</v>
      </c>
    </row>
    <row r="21" spans="2:24" x14ac:dyDescent="0.25">
      <c r="B21" s="31" t="s">
        <v>19</v>
      </c>
      <c r="C21" s="24">
        <v>2416</v>
      </c>
      <c r="D21" s="39" t="b">
        <v>1</v>
      </c>
      <c r="E21" s="24"/>
      <c r="F21" s="44" t="s">
        <v>19</v>
      </c>
      <c r="G21" s="14">
        <v>2416</v>
      </c>
      <c r="H21" s="39" t="b">
        <v>1</v>
      </c>
      <c r="I21" s="24"/>
      <c r="J21" s="45" t="s">
        <v>19</v>
      </c>
      <c r="K21" s="46">
        <v>2416</v>
      </c>
      <c r="L21" s="44" t="b">
        <v>1</v>
      </c>
      <c r="M21" s="43"/>
      <c r="N21" s="45" t="s">
        <v>19</v>
      </c>
      <c r="O21" s="46">
        <v>2416</v>
      </c>
      <c r="P21" s="44" t="b">
        <v>1</v>
      </c>
      <c r="Q21" s="43"/>
      <c r="R21" s="45" t="s">
        <v>19</v>
      </c>
      <c r="S21" s="46">
        <v>2416</v>
      </c>
      <c r="T21" s="44" t="b">
        <v>1</v>
      </c>
      <c r="U21" s="43"/>
      <c r="V21" s="45" t="s">
        <v>19</v>
      </c>
      <c r="W21" s="46">
        <v>2416</v>
      </c>
      <c r="X21" s="33" t="b">
        <v>1</v>
      </c>
    </row>
    <row r="22" spans="2:24" x14ac:dyDescent="0.25">
      <c r="B22" s="31" t="s">
        <v>18</v>
      </c>
      <c r="C22" s="24">
        <v>1208</v>
      </c>
      <c r="D22" s="39" t="b">
        <v>1</v>
      </c>
      <c r="E22" s="24"/>
      <c r="F22" s="44" t="s">
        <v>18</v>
      </c>
      <c r="G22" s="14">
        <v>1208</v>
      </c>
      <c r="H22" s="39" t="b">
        <v>1</v>
      </c>
      <c r="I22" s="24"/>
      <c r="J22" s="45" t="s">
        <v>18</v>
      </c>
      <c r="K22" s="46">
        <v>1208</v>
      </c>
      <c r="L22" s="44" t="b">
        <v>1</v>
      </c>
      <c r="M22" s="43"/>
      <c r="N22" s="45" t="s">
        <v>18</v>
      </c>
      <c r="O22" s="46">
        <v>1208</v>
      </c>
      <c r="P22" s="44" t="b">
        <v>1</v>
      </c>
      <c r="Q22" s="43"/>
      <c r="R22" s="45" t="s">
        <v>18</v>
      </c>
      <c r="S22" s="46">
        <v>1208</v>
      </c>
      <c r="T22" s="44" t="b">
        <v>1</v>
      </c>
      <c r="U22" s="43"/>
      <c r="V22" s="45" t="s">
        <v>18</v>
      </c>
      <c r="W22" s="46">
        <v>1208</v>
      </c>
      <c r="X22" s="33" t="b">
        <v>1</v>
      </c>
    </row>
    <row r="23" spans="2:24" x14ac:dyDescent="0.25">
      <c r="B23" s="31" t="s">
        <v>22</v>
      </c>
      <c r="C23" s="24">
        <v>995</v>
      </c>
      <c r="D23" s="39" t="b">
        <v>1</v>
      </c>
      <c r="E23" s="24"/>
      <c r="F23" s="44" t="s">
        <v>3</v>
      </c>
      <c r="G23" s="14">
        <v>749</v>
      </c>
      <c r="H23" s="39" t="b">
        <v>1</v>
      </c>
      <c r="I23" s="24"/>
      <c r="J23" s="45" t="s">
        <v>8</v>
      </c>
      <c r="K23" s="46">
        <v>1493</v>
      </c>
      <c r="L23" s="44" t="b">
        <v>1</v>
      </c>
      <c r="M23" s="43"/>
      <c r="N23" s="45" t="s">
        <v>3</v>
      </c>
      <c r="O23" s="46">
        <v>749</v>
      </c>
      <c r="P23" s="44" t="b">
        <v>1</v>
      </c>
      <c r="Q23" s="43"/>
      <c r="R23" s="45" t="s">
        <v>20</v>
      </c>
      <c r="S23" s="46">
        <v>3791</v>
      </c>
      <c r="T23" s="44" t="b">
        <v>1</v>
      </c>
      <c r="U23" s="43"/>
      <c r="V23" s="45" t="s">
        <v>20</v>
      </c>
      <c r="W23" s="46">
        <v>1896</v>
      </c>
      <c r="X23" s="33" t="b">
        <v>1</v>
      </c>
    </row>
    <row r="24" spans="2:24" x14ac:dyDescent="0.25">
      <c r="B24" s="31" t="s">
        <v>23</v>
      </c>
      <c r="C24" s="24">
        <v>882</v>
      </c>
      <c r="D24" s="39" t="b">
        <v>1</v>
      </c>
      <c r="E24" s="24"/>
      <c r="F24" s="44" t="s">
        <v>4</v>
      </c>
      <c r="G24" s="14">
        <v>309</v>
      </c>
      <c r="H24" s="39" t="b">
        <v>1</v>
      </c>
      <c r="I24" s="24"/>
      <c r="J24" s="45" t="s">
        <v>4</v>
      </c>
      <c r="K24" s="46">
        <v>986</v>
      </c>
      <c r="L24" s="44" t="b">
        <v>1</v>
      </c>
      <c r="M24" s="43"/>
      <c r="N24" s="45" t="s">
        <v>4</v>
      </c>
      <c r="O24" s="46">
        <v>309</v>
      </c>
      <c r="P24" s="44" t="b">
        <v>1</v>
      </c>
      <c r="Q24" s="43"/>
      <c r="R24" s="45" t="s">
        <v>4</v>
      </c>
      <c r="S24" s="46">
        <v>986</v>
      </c>
      <c r="T24" s="44" t="b">
        <v>1</v>
      </c>
      <c r="U24" s="43"/>
      <c r="V24" s="45" t="s">
        <v>3</v>
      </c>
      <c r="W24" s="46">
        <v>749</v>
      </c>
      <c r="X24" s="33" t="b">
        <v>1</v>
      </c>
    </row>
    <row r="25" spans="2:24" x14ac:dyDescent="0.25">
      <c r="B25" s="31" t="s">
        <v>8</v>
      </c>
      <c r="C25" s="24">
        <v>1182</v>
      </c>
      <c r="D25" s="39" t="b">
        <v>1</v>
      </c>
      <c r="E25" s="24"/>
      <c r="F25" s="44" t="s">
        <v>5</v>
      </c>
      <c r="G25" s="14">
        <v>2909</v>
      </c>
      <c r="H25" s="47" t="b">
        <v>1</v>
      </c>
      <c r="I25" s="24"/>
      <c r="J25" s="45" t="s">
        <v>11</v>
      </c>
      <c r="K25" s="46">
        <v>747</v>
      </c>
      <c r="L25" s="44" t="b">
        <v>1</v>
      </c>
      <c r="M25" s="43"/>
      <c r="N25" s="45" t="s">
        <v>6</v>
      </c>
      <c r="O25" s="46">
        <v>2874</v>
      </c>
      <c r="P25" s="44" t="b">
        <v>1</v>
      </c>
      <c r="Q25" s="43"/>
      <c r="R25" s="45" t="s">
        <v>11</v>
      </c>
      <c r="S25" s="46">
        <v>747</v>
      </c>
      <c r="T25" s="44" t="b">
        <v>1</v>
      </c>
      <c r="U25" s="43"/>
      <c r="V25" s="45" t="s">
        <v>4</v>
      </c>
      <c r="W25" s="46">
        <v>309</v>
      </c>
      <c r="X25" s="33" t="b">
        <v>1</v>
      </c>
    </row>
    <row r="26" spans="2:24" x14ac:dyDescent="0.25">
      <c r="B26" s="31" t="s">
        <v>4</v>
      </c>
      <c r="C26" s="24">
        <v>986</v>
      </c>
      <c r="D26" s="39" t="b">
        <v>1</v>
      </c>
      <c r="E26" s="24"/>
      <c r="F26" s="44" t="s">
        <v>6</v>
      </c>
      <c r="G26" s="14">
        <v>2874</v>
      </c>
      <c r="H26" s="39" t="b">
        <v>1</v>
      </c>
      <c r="I26" s="24"/>
      <c r="J26" s="45" t="s">
        <v>12</v>
      </c>
      <c r="K26" s="46">
        <v>475</v>
      </c>
      <c r="L26" s="44" t="b">
        <v>1</v>
      </c>
      <c r="M26" s="43"/>
      <c r="N26" s="45" t="s">
        <v>7</v>
      </c>
      <c r="O26" s="46">
        <v>590</v>
      </c>
      <c r="P26" s="44" t="b">
        <v>1</v>
      </c>
      <c r="Q26" s="43"/>
      <c r="R26" s="45" t="s">
        <v>12</v>
      </c>
      <c r="S26" s="46">
        <v>475</v>
      </c>
      <c r="T26" s="44" t="b">
        <v>1</v>
      </c>
      <c r="U26" s="43"/>
      <c r="V26" s="45" t="s">
        <v>6</v>
      </c>
      <c r="W26" s="46">
        <v>2874</v>
      </c>
      <c r="X26" s="33" t="b">
        <v>1</v>
      </c>
    </row>
    <row r="27" spans="2:24" x14ac:dyDescent="0.25">
      <c r="B27" s="31" t="s">
        <v>11</v>
      </c>
      <c r="C27" s="24">
        <v>747</v>
      </c>
      <c r="D27" s="39" t="b">
        <v>1</v>
      </c>
      <c r="E27" s="24"/>
      <c r="F27" s="44" t="s">
        <v>7</v>
      </c>
      <c r="G27" s="14">
        <v>590</v>
      </c>
      <c r="H27" s="39" t="b">
        <v>1</v>
      </c>
      <c r="I27" s="24"/>
      <c r="J27" s="45" t="s">
        <v>9</v>
      </c>
      <c r="K27" s="46">
        <v>1024</v>
      </c>
      <c r="L27" s="44" t="b">
        <v>1</v>
      </c>
      <c r="M27" s="43"/>
      <c r="N27" s="45" t="s">
        <v>8</v>
      </c>
      <c r="O27" s="46">
        <v>1346</v>
      </c>
      <c r="P27" s="44" t="b">
        <v>1</v>
      </c>
      <c r="Q27" s="43"/>
      <c r="R27" s="45" t="s">
        <v>13</v>
      </c>
      <c r="S27" s="46">
        <v>937</v>
      </c>
      <c r="T27" s="44" t="b">
        <v>1</v>
      </c>
      <c r="U27" s="43"/>
      <c r="V27" s="45" t="s">
        <v>7</v>
      </c>
      <c r="W27" s="46">
        <v>590</v>
      </c>
      <c r="X27" s="33" t="b">
        <v>1</v>
      </c>
    </row>
    <row r="28" spans="2:24" x14ac:dyDescent="0.25">
      <c r="B28" s="31" t="s">
        <v>12</v>
      </c>
      <c r="C28" s="24">
        <v>475</v>
      </c>
      <c r="D28" s="39" t="b">
        <v>1</v>
      </c>
      <c r="E28" s="24"/>
      <c r="F28" s="44" t="s">
        <v>8</v>
      </c>
      <c r="G28" s="14">
        <v>834</v>
      </c>
      <c r="H28" s="39" t="b">
        <v>1</v>
      </c>
      <c r="I28" s="24"/>
      <c r="J28" s="45" t="s">
        <v>9</v>
      </c>
      <c r="K28" s="46">
        <v>213</v>
      </c>
      <c r="L28" s="44" t="b">
        <v>1</v>
      </c>
      <c r="M28" s="43"/>
      <c r="N28" s="45" t="s">
        <v>9</v>
      </c>
      <c r="O28" s="46">
        <v>1024</v>
      </c>
      <c r="P28" s="44" t="b">
        <v>1</v>
      </c>
      <c r="Q28" s="43"/>
      <c r="R28" s="45" t="s">
        <v>14</v>
      </c>
      <c r="S28" s="46">
        <v>916</v>
      </c>
      <c r="T28" s="44" t="b">
        <v>1</v>
      </c>
      <c r="U28" s="43"/>
      <c r="V28" s="45" t="s">
        <v>21</v>
      </c>
      <c r="W28" s="46">
        <v>1000</v>
      </c>
      <c r="X28" s="33" t="b">
        <v>1</v>
      </c>
    </row>
    <row r="29" spans="2:24" x14ac:dyDescent="0.25">
      <c r="B29" s="31" t="s">
        <v>9</v>
      </c>
      <c r="C29" s="24">
        <v>1024</v>
      </c>
      <c r="D29" s="39" t="b">
        <v>1</v>
      </c>
      <c r="E29" s="24"/>
      <c r="F29" s="44" t="s">
        <v>9</v>
      </c>
      <c r="G29" s="14">
        <v>1024</v>
      </c>
      <c r="H29" s="39" t="b">
        <v>1</v>
      </c>
      <c r="I29" s="24"/>
      <c r="J29" s="45" t="s">
        <v>13</v>
      </c>
      <c r="K29" s="46">
        <v>801</v>
      </c>
      <c r="L29" s="44" t="b">
        <v>1</v>
      </c>
      <c r="M29" s="43"/>
      <c r="N29" s="45" t="s">
        <v>9</v>
      </c>
      <c r="O29" s="46">
        <v>213</v>
      </c>
      <c r="P29" s="44" t="b">
        <v>1</v>
      </c>
      <c r="Q29" s="43"/>
      <c r="R29" s="45" t="s">
        <v>15</v>
      </c>
      <c r="S29" s="46">
        <v>517</v>
      </c>
      <c r="T29" s="44" t="b">
        <v>1</v>
      </c>
      <c r="U29" s="43"/>
      <c r="V29" s="45" t="s">
        <v>10</v>
      </c>
      <c r="W29" s="46">
        <v>673</v>
      </c>
      <c r="X29" s="33" t="b">
        <v>1</v>
      </c>
    </row>
    <row r="30" spans="2:24" x14ac:dyDescent="0.25">
      <c r="B30" s="31" t="s">
        <v>9</v>
      </c>
      <c r="C30" s="24">
        <v>213</v>
      </c>
      <c r="D30" s="39" t="b">
        <v>1</v>
      </c>
      <c r="E30" s="24"/>
      <c r="F30" s="44" t="s">
        <v>9</v>
      </c>
      <c r="G30" s="14">
        <v>213</v>
      </c>
      <c r="H30" s="39" t="b">
        <v>1</v>
      </c>
      <c r="I30" s="24"/>
      <c r="J30" s="45" t="s">
        <v>14</v>
      </c>
      <c r="K30" s="46">
        <v>1590</v>
      </c>
      <c r="L30" s="44" t="b">
        <v>1</v>
      </c>
      <c r="M30" s="43"/>
      <c r="N30" s="45" t="s">
        <v>10</v>
      </c>
      <c r="O30" s="46">
        <v>673</v>
      </c>
      <c r="P30" s="44" t="b">
        <v>1</v>
      </c>
      <c r="Q30" s="43"/>
      <c r="R30" s="45" t="s">
        <v>10</v>
      </c>
      <c r="S30" s="46">
        <v>673</v>
      </c>
      <c r="T30" s="44" t="b">
        <v>1</v>
      </c>
      <c r="U30" s="43"/>
      <c r="V30" s="45" t="s">
        <v>16</v>
      </c>
      <c r="W30" s="46">
        <v>565</v>
      </c>
      <c r="X30" s="33" t="b">
        <v>1</v>
      </c>
    </row>
    <row r="31" spans="2:24" x14ac:dyDescent="0.25">
      <c r="B31" s="31" t="s">
        <v>13</v>
      </c>
      <c r="C31" s="24">
        <v>1200</v>
      </c>
      <c r="D31" s="39" t="b">
        <v>1</v>
      </c>
      <c r="E31" s="24"/>
      <c r="F31" s="44" t="s">
        <v>10</v>
      </c>
      <c r="G31" s="14">
        <v>1345</v>
      </c>
      <c r="H31" s="39" t="b">
        <v>1</v>
      </c>
      <c r="I31" s="24"/>
      <c r="J31" s="45" t="s">
        <v>15</v>
      </c>
      <c r="K31" s="46">
        <v>517</v>
      </c>
      <c r="L31" s="44" t="b">
        <v>1</v>
      </c>
      <c r="M31" s="43"/>
      <c r="N31" s="45" t="s">
        <v>17</v>
      </c>
      <c r="O31" s="46">
        <v>1000</v>
      </c>
      <c r="P31" s="44" t="b">
        <v>1</v>
      </c>
      <c r="Q31" s="43"/>
      <c r="R31" s="45" t="s">
        <v>16</v>
      </c>
      <c r="S31" s="46">
        <v>565</v>
      </c>
      <c r="T31" s="44" t="b">
        <v>1</v>
      </c>
      <c r="U31" s="43"/>
      <c r="V31" s="45" t="s">
        <v>22</v>
      </c>
      <c r="W31" s="37">
        <v>5530</v>
      </c>
      <c r="X31" s="33" t="b">
        <v>1</v>
      </c>
    </row>
    <row r="32" spans="2:24" x14ac:dyDescent="0.25">
      <c r="B32" s="31" t="s">
        <v>24</v>
      </c>
      <c r="C32" s="7">
        <v>916</v>
      </c>
      <c r="D32" s="8" t="b">
        <v>1</v>
      </c>
      <c r="F32" s="33" t="s">
        <v>17</v>
      </c>
      <c r="G32" s="5">
        <v>1000</v>
      </c>
      <c r="H32" s="8" t="b">
        <v>1</v>
      </c>
      <c r="J32" s="31" t="s">
        <v>10</v>
      </c>
      <c r="K32" s="34">
        <v>673</v>
      </c>
      <c r="L32" s="33" t="b">
        <v>1</v>
      </c>
      <c r="M32" s="4"/>
      <c r="N32" s="31" t="s">
        <v>16</v>
      </c>
      <c r="O32" s="34">
        <v>565</v>
      </c>
      <c r="P32" s="33" t="b">
        <v>1</v>
      </c>
      <c r="Q32" s="4"/>
      <c r="R32" s="45" t="s">
        <v>16</v>
      </c>
      <c r="S32" s="46">
        <v>1129</v>
      </c>
      <c r="T32" s="33" t="b">
        <v>1</v>
      </c>
      <c r="U32" s="4"/>
      <c r="V32" s="45" t="s">
        <v>16</v>
      </c>
      <c r="W32" s="46">
        <v>1129</v>
      </c>
      <c r="X32" s="33" t="b">
        <v>1</v>
      </c>
    </row>
    <row r="33" spans="2:24" x14ac:dyDescent="0.25">
      <c r="B33" s="31" t="s">
        <v>25</v>
      </c>
      <c r="C33" s="7">
        <v>517</v>
      </c>
      <c r="D33" s="8" t="b">
        <v>1</v>
      </c>
      <c r="F33" s="2"/>
      <c r="G33" s="1"/>
      <c r="H33" s="2"/>
      <c r="J33" s="31" t="s">
        <v>16</v>
      </c>
      <c r="K33" s="34">
        <v>1129</v>
      </c>
      <c r="L33" s="33" t="b">
        <v>1</v>
      </c>
      <c r="M33" s="4"/>
      <c r="N33" s="31" t="s">
        <v>16</v>
      </c>
      <c r="O33" s="46">
        <v>2256</v>
      </c>
      <c r="P33" s="33" t="b">
        <v>1</v>
      </c>
      <c r="Q33" s="4"/>
      <c r="R33" s="31"/>
      <c r="S33" s="34"/>
      <c r="T33" s="31"/>
      <c r="U33" s="4"/>
      <c r="V33" s="31"/>
      <c r="W33" s="13"/>
      <c r="X33" s="31"/>
    </row>
    <row r="34" spans="2:24" x14ac:dyDescent="0.25">
      <c r="B34" s="2"/>
      <c r="D34" s="3"/>
      <c r="F34" s="2"/>
      <c r="G34" s="1"/>
      <c r="H34" s="3"/>
      <c r="J34" s="2"/>
      <c r="K34" s="1"/>
      <c r="L34" s="3"/>
      <c r="N34" s="2"/>
      <c r="O34" s="1"/>
      <c r="P34" s="3"/>
      <c r="R34" s="3"/>
      <c r="S34" s="3"/>
      <c r="T34" s="3"/>
      <c r="V34" s="3"/>
      <c r="W34" s="9"/>
      <c r="X34" s="3"/>
    </row>
    <row r="35" spans="2:24" ht="15" customHeight="1" x14ac:dyDescent="0.25">
      <c r="B35" s="12" t="s">
        <v>29</v>
      </c>
      <c r="C35" s="17">
        <f>SUMIF(D20:D33, FALSE, C20:C33)</f>
        <v>0</v>
      </c>
      <c r="D35" s="73" t="str">
        <f>IF(C35=0, "PAID", "UNPAID")</f>
        <v>PAID</v>
      </c>
      <c r="F35" s="12" t="s">
        <v>29</v>
      </c>
      <c r="G35" s="17">
        <f>SUMIF(H20:H32, FALSE,G20:G32)</f>
        <v>0</v>
      </c>
      <c r="H35" s="73" t="str">
        <f>IF(G35=0, "PAID", "UNPAID")</f>
        <v>PAID</v>
      </c>
      <c r="J35" s="12" t="s">
        <v>29</v>
      </c>
      <c r="K35" s="18">
        <f>SUMIF(L20:L33, FALSE, K20:K33)</f>
        <v>0</v>
      </c>
      <c r="L35" s="73" t="str">
        <f>IF(K35=0, "PAID", "UNPAID")</f>
        <v>PAID</v>
      </c>
      <c r="N35" s="12" t="s">
        <v>29</v>
      </c>
      <c r="O35" s="17">
        <f>SUMIF(P20:P33, FALSE, O20:O33)</f>
        <v>0</v>
      </c>
      <c r="P35" s="83" t="str">
        <f>IF(O35=0, "PAID", "UNPAID")</f>
        <v>PAID</v>
      </c>
      <c r="R35" s="10" t="s">
        <v>29</v>
      </c>
      <c r="S35" s="14">
        <f>SUMIF(T20:T32, FALSE, S20:S32)</f>
        <v>0</v>
      </c>
      <c r="T35" s="73" t="str">
        <f>IF(S35=0, "PAID", "UNPAID")</f>
        <v>PAID</v>
      </c>
      <c r="V35" s="10" t="s">
        <v>29</v>
      </c>
      <c r="W35" s="14">
        <f>SUMIF(X20:X32, FALSE, W20:W32)</f>
        <v>0</v>
      </c>
      <c r="X35" s="73" t="str">
        <f>IF(W35=0, "PAID", "UNPAID")</f>
        <v>PAID</v>
      </c>
    </row>
    <row r="36" spans="2:24" ht="15" customHeight="1" x14ac:dyDescent="0.25">
      <c r="B36" s="10" t="s">
        <v>30</v>
      </c>
      <c r="C36" s="14">
        <f>SUMIF(D20:D33,TRUE,C20:C33)</f>
        <v>14636</v>
      </c>
      <c r="D36" s="74"/>
      <c r="F36" s="10" t="s">
        <v>30</v>
      </c>
      <c r="G36" s="16">
        <f>SUMIF(H20:H32,TRUE,G20:G32)</f>
        <v>17346</v>
      </c>
      <c r="H36" s="74"/>
      <c r="J36" s="10" t="s">
        <v>30</v>
      </c>
      <c r="K36" s="16">
        <f>SUMIF(L20:L33,TRUE,K20:K33)</f>
        <v>15147</v>
      </c>
      <c r="L36" s="74"/>
      <c r="N36" s="10" t="s">
        <v>30</v>
      </c>
      <c r="O36" s="14">
        <f>SUMIF(P20:P33,TRUE,O20:O33)</f>
        <v>17098</v>
      </c>
      <c r="P36" s="84"/>
      <c r="R36" s="10" t="s">
        <v>30</v>
      </c>
      <c r="S36" s="14">
        <f>SUMIF(T20:T32,TRUE,S20:S32)</f>
        <v>16235</v>
      </c>
      <c r="T36" s="74"/>
      <c r="V36" s="10" t="s">
        <v>30</v>
      </c>
      <c r="W36" s="14">
        <f>SUMIF(X20:X32,TRUE,W20:W32)</f>
        <v>20814</v>
      </c>
      <c r="X36" s="74"/>
    </row>
    <row r="37" spans="2:24" ht="15" customHeight="1" x14ac:dyDescent="0.25">
      <c r="B37" s="11" t="s">
        <v>31</v>
      </c>
      <c r="C37" s="15">
        <f>SUM(C20:C33)</f>
        <v>14636</v>
      </c>
      <c r="D37" s="75"/>
      <c r="F37" s="11" t="s">
        <v>31</v>
      </c>
      <c r="G37" s="15">
        <f>SUM(G20:G32)</f>
        <v>17346</v>
      </c>
      <c r="H37" s="75"/>
      <c r="J37" s="11" t="s">
        <v>31</v>
      </c>
      <c r="K37" s="19">
        <f>SUM(K20:K33)</f>
        <v>15147</v>
      </c>
      <c r="L37" s="75"/>
      <c r="N37" s="11" t="s">
        <v>31</v>
      </c>
      <c r="O37" s="15">
        <f>SUM(O20:O33)</f>
        <v>17098</v>
      </c>
      <c r="P37" s="85"/>
      <c r="R37" s="11" t="s">
        <v>31</v>
      </c>
      <c r="S37" s="15">
        <f>SUM(S20:S32)</f>
        <v>16235</v>
      </c>
      <c r="T37" s="75"/>
      <c r="V37" s="11" t="s">
        <v>31</v>
      </c>
      <c r="W37" s="15">
        <f>SUM(W20:W32)</f>
        <v>20814</v>
      </c>
      <c r="X37" s="75"/>
    </row>
    <row r="39" spans="2:24" x14ac:dyDescent="0.25">
      <c r="B39" s="20">
        <v>46157</v>
      </c>
      <c r="C39" s="21" t="s">
        <v>1</v>
      </c>
      <c r="D39" s="21" t="s">
        <v>28</v>
      </c>
      <c r="E39" s="4"/>
      <c r="F39" s="20">
        <v>46172</v>
      </c>
      <c r="G39" s="21" t="s">
        <v>1</v>
      </c>
      <c r="H39" s="21" t="s">
        <v>28</v>
      </c>
      <c r="I39" s="29"/>
      <c r="J39" s="22">
        <v>46188</v>
      </c>
      <c r="K39" s="23" t="s">
        <v>1</v>
      </c>
      <c r="L39" s="23" t="s">
        <v>28</v>
      </c>
      <c r="M39" s="29"/>
      <c r="N39" s="22">
        <v>46203</v>
      </c>
      <c r="O39" s="23" t="s">
        <v>1</v>
      </c>
      <c r="P39" s="23" t="s">
        <v>28</v>
      </c>
      <c r="Q39" s="28"/>
      <c r="R39" s="20">
        <v>46218</v>
      </c>
      <c r="S39" s="21" t="s">
        <v>1</v>
      </c>
      <c r="T39" s="21" t="s">
        <v>28</v>
      </c>
      <c r="U39" s="28"/>
      <c r="V39" s="20">
        <v>46233</v>
      </c>
      <c r="W39" s="21" t="s">
        <v>1</v>
      </c>
      <c r="X39" s="21" t="s">
        <v>28</v>
      </c>
    </row>
    <row r="40" spans="2:24" x14ac:dyDescent="0.25">
      <c r="B40" s="30" t="s">
        <v>2</v>
      </c>
      <c r="C40" s="42">
        <v>1875</v>
      </c>
      <c r="D40" s="40" t="b">
        <v>1</v>
      </c>
      <c r="E40" s="43"/>
      <c r="F40" s="41" t="s">
        <v>2</v>
      </c>
      <c r="G40" s="42">
        <v>1875</v>
      </c>
      <c r="H40" s="40" t="b">
        <v>0</v>
      </c>
      <c r="I40" s="43"/>
      <c r="J40" s="41" t="s">
        <v>2</v>
      </c>
      <c r="K40" s="42">
        <v>1875</v>
      </c>
      <c r="L40" s="40" t="b">
        <v>0</v>
      </c>
      <c r="M40" s="43"/>
      <c r="N40" s="41" t="s">
        <v>2</v>
      </c>
      <c r="O40" s="42">
        <v>1875</v>
      </c>
      <c r="P40" s="40" t="b">
        <v>0</v>
      </c>
      <c r="Q40" s="43"/>
      <c r="R40" s="41" t="s">
        <v>2</v>
      </c>
      <c r="S40" s="42">
        <v>1875</v>
      </c>
      <c r="T40" s="40" t="b">
        <v>0</v>
      </c>
      <c r="U40" s="43"/>
      <c r="V40" s="41" t="s">
        <v>2</v>
      </c>
      <c r="W40" s="42">
        <v>1875</v>
      </c>
      <c r="X40" s="32" t="b">
        <v>0</v>
      </c>
    </row>
    <row r="41" spans="2:24" x14ac:dyDescent="0.25">
      <c r="B41" s="31" t="s">
        <v>19</v>
      </c>
      <c r="C41" s="46">
        <v>2416</v>
      </c>
      <c r="D41" s="44" t="b">
        <v>1</v>
      </c>
      <c r="E41" s="43"/>
      <c r="F41" s="45" t="s">
        <v>19</v>
      </c>
      <c r="G41" s="46">
        <v>2416</v>
      </c>
      <c r="H41" s="44" t="b">
        <v>0</v>
      </c>
      <c r="I41" s="43"/>
      <c r="J41" s="45" t="s">
        <v>19</v>
      </c>
      <c r="K41" s="46">
        <v>2416</v>
      </c>
      <c r="L41" s="44" t="b">
        <v>0</v>
      </c>
      <c r="M41" s="43"/>
      <c r="N41" s="45" t="s">
        <v>19</v>
      </c>
      <c r="O41" s="46">
        <v>2416</v>
      </c>
      <c r="P41" s="44" t="b">
        <v>0</v>
      </c>
      <c r="Q41" s="43"/>
      <c r="R41" s="45" t="s">
        <v>19</v>
      </c>
      <c r="S41" s="46">
        <v>2416</v>
      </c>
      <c r="T41" s="44" t="b">
        <v>0</v>
      </c>
      <c r="U41" s="43"/>
      <c r="V41" s="45" t="s">
        <v>19</v>
      </c>
      <c r="W41" s="46">
        <v>2416</v>
      </c>
      <c r="X41" s="33" t="b">
        <v>0</v>
      </c>
    </row>
    <row r="42" spans="2:24" x14ac:dyDescent="0.25">
      <c r="B42" s="31" t="s">
        <v>18</v>
      </c>
      <c r="C42" s="46">
        <v>1208</v>
      </c>
      <c r="D42" s="44" t="b">
        <v>1</v>
      </c>
      <c r="E42" s="43"/>
      <c r="F42" s="45" t="s">
        <v>18</v>
      </c>
      <c r="G42" s="46">
        <v>1208</v>
      </c>
      <c r="H42" s="44" t="b">
        <v>0</v>
      </c>
      <c r="I42" s="43"/>
      <c r="J42" s="45" t="s">
        <v>18</v>
      </c>
      <c r="K42" s="46">
        <v>1208</v>
      </c>
      <c r="L42" s="44" t="b">
        <v>0</v>
      </c>
      <c r="M42" s="43"/>
      <c r="N42" s="45" t="s">
        <v>18</v>
      </c>
      <c r="O42" s="46">
        <v>1208</v>
      </c>
      <c r="P42" s="44" t="b">
        <v>0</v>
      </c>
      <c r="Q42" s="43"/>
      <c r="R42" s="45" t="s">
        <v>18</v>
      </c>
      <c r="S42" s="46">
        <v>1208</v>
      </c>
      <c r="T42" s="44" t="b">
        <v>0</v>
      </c>
      <c r="U42" s="43"/>
      <c r="V42" s="45" t="s">
        <v>18</v>
      </c>
      <c r="W42" s="46">
        <v>1208</v>
      </c>
      <c r="X42" s="33" t="b">
        <v>0</v>
      </c>
    </row>
    <row r="43" spans="2:24" x14ac:dyDescent="0.25">
      <c r="B43" s="31" t="s">
        <v>20</v>
      </c>
      <c r="C43" s="46">
        <v>3791</v>
      </c>
      <c r="D43" s="44" t="b">
        <v>1</v>
      </c>
      <c r="E43" s="43"/>
      <c r="F43" s="45" t="s">
        <v>20</v>
      </c>
      <c r="G43" s="46">
        <v>1896</v>
      </c>
      <c r="H43" s="44" t="b">
        <v>0</v>
      </c>
      <c r="I43" s="43"/>
      <c r="J43" s="45" t="s">
        <v>20</v>
      </c>
      <c r="K43" s="46">
        <v>1896</v>
      </c>
      <c r="L43" s="44" t="b">
        <v>0</v>
      </c>
      <c r="M43" s="43"/>
      <c r="N43" s="45" t="s">
        <v>20</v>
      </c>
      <c r="O43" s="46">
        <v>1896</v>
      </c>
      <c r="P43" s="44" t="b">
        <v>0</v>
      </c>
      <c r="Q43" s="43"/>
      <c r="R43" s="45" t="s">
        <v>20</v>
      </c>
      <c r="S43" s="46">
        <v>1896</v>
      </c>
      <c r="T43" s="44" t="b">
        <v>0</v>
      </c>
      <c r="U43" s="43"/>
      <c r="V43" s="45" t="s">
        <v>20</v>
      </c>
      <c r="W43" s="46">
        <v>1896</v>
      </c>
      <c r="X43" s="33" t="b">
        <v>0</v>
      </c>
    </row>
    <row r="44" spans="2:24" x14ac:dyDescent="0.25">
      <c r="B44" s="31" t="s">
        <v>4</v>
      </c>
      <c r="C44" s="46">
        <v>986</v>
      </c>
      <c r="D44" s="44" t="b">
        <v>1</v>
      </c>
      <c r="E44" s="43"/>
      <c r="F44" s="45" t="s">
        <v>3</v>
      </c>
      <c r="G44" s="46">
        <v>749</v>
      </c>
      <c r="H44" s="44" t="b">
        <v>0</v>
      </c>
      <c r="I44" s="43"/>
      <c r="J44" s="45" t="s">
        <v>4</v>
      </c>
      <c r="K44" s="46">
        <v>986</v>
      </c>
      <c r="L44" s="44" t="b">
        <v>0</v>
      </c>
      <c r="M44" s="43"/>
      <c r="N44" s="45" t="s">
        <v>3</v>
      </c>
      <c r="O44" s="46">
        <v>749</v>
      </c>
      <c r="P44" s="44" t="b">
        <v>0</v>
      </c>
      <c r="Q44" s="43"/>
      <c r="R44" s="45" t="s">
        <v>4</v>
      </c>
      <c r="S44" s="46">
        <v>986</v>
      </c>
      <c r="T44" s="44" t="b">
        <v>0</v>
      </c>
      <c r="U44" s="43"/>
      <c r="V44" s="45" t="s">
        <v>3</v>
      </c>
      <c r="W44" s="46">
        <v>749</v>
      </c>
      <c r="X44" s="33" t="b">
        <v>0</v>
      </c>
    </row>
    <row r="45" spans="2:24" x14ac:dyDescent="0.25">
      <c r="B45" s="31" t="s">
        <v>11</v>
      </c>
      <c r="C45" s="46">
        <v>747</v>
      </c>
      <c r="D45" s="44" t="b">
        <v>1</v>
      </c>
      <c r="E45" s="43"/>
      <c r="F45" s="45" t="s">
        <v>4</v>
      </c>
      <c r="G45" s="46">
        <v>309</v>
      </c>
      <c r="H45" s="44" t="b">
        <v>0</v>
      </c>
      <c r="I45" s="43"/>
      <c r="J45" s="45" t="s">
        <v>11</v>
      </c>
      <c r="K45" s="46">
        <v>747</v>
      </c>
      <c r="L45" s="44" t="b">
        <v>0</v>
      </c>
      <c r="M45" s="43"/>
      <c r="N45" s="45" t="s">
        <v>4</v>
      </c>
      <c r="O45" s="46">
        <v>309</v>
      </c>
      <c r="P45" s="44" t="b">
        <v>0</v>
      </c>
      <c r="Q45" s="43"/>
      <c r="R45" s="45" t="s">
        <v>11</v>
      </c>
      <c r="S45" s="46">
        <v>747</v>
      </c>
      <c r="T45" s="44" t="b">
        <v>0</v>
      </c>
      <c r="U45" s="43"/>
      <c r="V45" s="45" t="s">
        <v>6</v>
      </c>
      <c r="W45" s="46">
        <v>2874</v>
      </c>
      <c r="X45" s="33" t="b">
        <v>0</v>
      </c>
    </row>
    <row r="46" spans="2:24" x14ac:dyDescent="0.25">
      <c r="B46" s="31" t="s">
        <v>15</v>
      </c>
      <c r="C46" s="46">
        <v>517</v>
      </c>
      <c r="D46" s="44" t="b">
        <v>1</v>
      </c>
      <c r="E46" s="43"/>
      <c r="F46" s="45" t="s">
        <v>6</v>
      </c>
      <c r="G46" s="46">
        <v>2874</v>
      </c>
      <c r="H46" s="44" t="b">
        <v>0</v>
      </c>
      <c r="I46" s="43"/>
      <c r="J46" s="45" t="s">
        <v>15</v>
      </c>
      <c r="K46" s="46">
        <v>517</v>
      </c>
      <c r="L46" s="44" t="b">
        <v>0</v>
      </c>
      <c r="M46" s="43"/>
      <c r="N46" s="45" t="s">
        <v>6</v>
      </c>
      <c r="O46" s="46">
        <v>2874</v>
      </c>
      <c r="P46" s="44" t="b">
        <v>0</v>
      </c>
      <c r="Q46" s="43"/>
      <c r="R46" s="45" t="s">
        <v>15</v>
      </c>
      <c r="S46" s="46">
        <v>517</v>
      </c>
      <c r="T46" s="44" t="b">
        <v>0</v>
      </c>
      <c r="U46" s="43"/>
      <c r="V46" s="45" t="s">
        <v>21</v>
      </c>
      <c r="W46" s="46">
        <v>1000</v>
      </c>
      <c r="X46" s="33" t="b">
        <v>0</v>
      </c>
    </row>
    <row r="47" spans="2:24" x14ac:dyDescent="0.25">
      <c r="B47" s="31" t="s">
        <v>10</v>
      </c>
      <c r="C47" s="46">
        <v>673</v>
      </c>
      <c r="D47" s="44" t="b">
        <v>1</v>
      </c>
      <c r="E47" s="43"/>
      <c r="F47" s="45" t="s">
        <v>7</v>
      </c>
      <c r="G47" s="46">
        <v>590</v>
      </c>
      <c r="H47" s="44" t="b">
        <v>0</v>
      </c>
      <c r="I47" s="43"/>
      <c r="J47" s="45" t="s">
        <v>10</v>
      </c>
      <c r="K47" s="46">
        <v>673</v>
      </c>
      <c r="L47" s="44" t="b">
        <v>0</v>
      </c>
      <c r="M47" s="43"/>
      <c r="N47" s="45" t="s">
        <v>21</v>
      </c>
      <c r="O47" s="46">
        <v>1000</v>
      </c>
      <c r="P47" s="44" t="b">
        <v>0</v>
      </c>
      <c r="Q47" s="43"/>
      <c r="R47" s="45" t="s">
        <v>10</v>
      </c>
      <c r="S47" s="46">
        <v>673</v>
      </c>
      <c r="T47" s="44" t="b">
        <v>0</v>
      </c>
      <c r="U47" s="43"/>
      <c r="V47" s="45" t="s">
        <v>10</v>
      </c>
      <c r="W47" s="46">
        <v>673</v>
      </c>
      <c r="X47" s="33" t="b">
        <v>0</v>
      </c>
    </row>
    <row r="48" spans="2:24" x14ac:dyDescent="0.25">
      <c r="B48" s="31" t="s">
        <v>16</v>
      </c>
      <c r="C48" s="46">
        <v>565</v>
      </c>
      <c r="D48" s="44" t="b">
        <v>1</v>
      </c>
      <c r="E48" s="43"/>
      <c r="F48" s="45" t="s">
        <v>21</v>
      </c>
      <c r="G48" s="46">
        <v>1000</v>
      </c>
      <c r="H48" s="44" t="b">
        <v>0</v>
      </c>
      <c r="I48" s="43"/>
      <c r="J48" s="45" t="s">
        <v>16</v>
      </c>
      <c r="K48" s="46">
        <v>565</v>
      </c>
      <c r="L48" s="44" t="b">
        <v>0</v>
      </c>
      <c r="M48" s="43"/>
      <c r="N48" s="45" t="s">
        <v>10</v>
      </c>
      <c r="O48" s="46">
        <v>673</v>
      </c>
      <c r="P48" s="44" t="b">
        <v>0</v>
      </c>
      <c r="Q48" s="43"/>
      <c r="R48" s="45" t="s">
        <v>16</v>
      </c>
      <c r="S48" s="46">
        <v>565</v>
      </c>
      <c r="T48" s="44" t="b">
        <v>0</v>
      </c>
      <c r="U48" s="43"/>
      <c r="V48" s="45" t="s">
        <v>16</v>
      </c>
      <c r="W48" s="46">
        <v>565</v>
      </c>
      <c r="X48" s="33" t="b">
        <v>0</v>
      </c>
    </row>
    <row r="49" spans="2:24" x14ac:dyDescent="0.25">
      <c r="B49" s="45" t="s">
        <v>16</v>
      </c>
      <c r="C49" s="46">
        <v>1129</v>
      </c>
      <c r="D49" s="44" t="b">
        <v>1</v>
      </c>
      <c r="E49" s="43"/>
      <c r="F49" s="45" t="s">
        <v>10</v>
      </c>
      <c r="G49" s="46">
        <v>673</v>
      </c>
      <c r="H49" s="44" t="b">
        <v>0</v>
      </c>
      <c r="I49" s="43"/>
      <c r="J49" s="45" t="s">
        <v>16</v>
      </c>
      <c r="K49" s="46">
        <v>1129</v>
      </c>
      <c r="L49" s="44" t="b">
        <v>0</v>
      </c>
      <c r="M49" s="43"/>
      <c r="N49" s="45" t="s">
        <v>16</v>
      </c>
      <c r="O49" s="46">
        <v>565</v>
      </c>
      <c r="P49" s="44" t="b">
        <v>0</v>
      </c>
      <c r="Q49" s="43"/>
      <c r="R49" s="45" t="s">
        <v>16</v>
      </c>
      <c r="S49" s="46">
        <v>1129</v>
      </c>
      <c r="T49" s="44" t="b">
        <v>0</v>
      </c>
      <c r="U49" s="43"/>
      <c r="V49" s="45" t="s">
        <v>16</v>
      </c>
      <c r="W49" s="46">
        <v>1129</v>
      </c>
      <c r="X49" s="33" t="b">
        <v>0</v>
      </c>
    </row>
    <row r="50" spans="2:24" x14ac:dyDescent="0.25">
      <c r="B50" s="31"/>
      <c r="C50" s="46"/>
      <c r="D50" s="45"/>
      <c r="E50" s="43"/>
      <c r="F50" s="45" t="s">
        <v>16</v>
      </c>
      <c r="G50" s="46">
        <v>565</v>
      </c>
      <c r="H50" s="44" t="b">
        <v>0</v>
      </c>
      <c r="I50" s="43"/>
      <c r="J50" s="45"/>
      <c r="K50" s="46"/>
      <c r="L50" s="45"/>
      <c r="M50" s="43"/>
      <c r="N50" s="45" t="s">
        <v>16</v>
      </c>
      <c r="O50" s="46">
        <v>1129</v>
      </c>
      <c r="P50" s="44" t="b">
        <v>0</v>
      </c>
      <c r="Q50" s="43"/>
      <c r="R50" s="45"/>
      <c r="S50" s="46"/>
      <c r="T50" s="45"/>
      <c r="U50" s="43"/>
      <c r="V50" s="45"/>
      <c r="W50" s="46"/>
      <c r="X50" s="31"/>
    </row>
    <row r="51" spans="2:24" x14ac:dyDescent="0.25">
      <c r="B51" s="6"/>
      <c r="C51" s="5"/>
      <c r="D51" s="2"/>
      <c r="F51" s="45" t="s">
        <v>16</v>
      </c>
      <c r="G51" s="46">
        <v>1129</v>
      </c>
      <c r="H51" s="8" t="b">
        <v>0</v>
      </c>
      <c r="J51" s="6"/>
      <c r="K51" s="5"/>
      <c r="L51" s="2"/>
      <c r="N51" s="6"/>
      <c r="O51" s="5"/>
      <c r="P51" s="2"/>
      <c r="R51" s="6"/>
      <c r="S51" s="5"/>
      <c r="T51" s="2"/>
      <c r="V51" s="6"/>
      <c r="W51" s="5"/>
      <c r="X51" s="2"/>
    </row>
    <row r="52" spans="2:24" x14ac:dyDescent="0.25">
      <c r="B52" s="2"/>
      <c r="C52" s="5"/>
      <c r="D52" s="2"/>
      <c r="F52" s="2"/>
      <c r="G52" s="5"/>
      <c r="H52" s="2"/>
      <c r="J52" s="2"/>
      <c r="K52" s="5"/>
      <c r="L52" s="2"/>
      <c r="N52" s="2"/>
      <c r="O52" s="5"/>
      <c r="P52" s="2"/>
      <c r="R52" s="2"/>
      <c r="S52" s="5"/>
      <c r="T52" s="2"/>
      <c r="V52" s="2"/>
      <c r="W52" s="5"/>
      <c r="X52" s="2"/>
    </row>
    <row r="53" spans="2:24" x14ac:dyDescent="0.25">
      <c r="B53" s="2"/>
      <c r="C53" s="5"/>
      <c r="D53" s="2"/>
      <c r="F53" s="2"/>
      <c r="G53" s="1"/>
      <c r="H53" s="2"/>
      <c r="J53" s="2"/>
      <c r="K53" s="5"/>
      <c r="L53" s="2"/>
      <c r="N53" s="2"/>
      <c r="O53" s="1"/>
      <c r="P53" s="2"/>
      <c r="R53" s="2"/>
      <c r="S53" s="5"/>
      <c r="T53" s="2"/>
      <c r="V53" s="2"/>
      <c r="W53" s="1"/>
      <c r="X53" s="2"/>
    </row>
    <row r="54" spans="2:24" x14ac:dyDescent="0.25">
      <c r="B54" s="3"/>
      <c r="C54" s="1"/>
      <c r="D54" s="3"/>
      <c r="F54" s="3"/>
      <c r="G54" s="1"/>
      <c r="H54" s="3"/>
      <c r="J54" s="3"/>
      <c r="K54" s="9"/>
      <c r="L54" s="3"/>
      <c r="N54" s="3"/>
      <c r="O54" s="9"/>
      <c r="P54" s="3"/>
      <c r="R54" s="3"/>
      <c r="S54" s="9"/>
      <c r="T54" s="3"/>
      <c r="V54" s="3"/>
      <c r="W54" s="1"/>
      <c r="X54" s="3"/>
    </row>
    <row r="55" spans="2:24" x14ac:dyDescent="0.25">
      <c r="B55" s="12" t="s">
        <v>29</v>
      </c>
      <c r="C55" s="17">
        <f>SUMIF(D40:D49, FALSE, C40:C49)</f>
        <v>0</v>
      </c>
      <c r="D55" s="73" t="str">
        <f>IF(C55=0, "PAID", "UNPAID")</f>
        <v>PAID</v>
      </c>
      <c r="F55" s="12" t="s">
        <v>29</v>
      </c>
      <c r="G55" s="17">
        <f>SUMIF(H40:H51, FALSE, G40:G51)</f>
        <v>15284</v>
      </c>
      <c r="H55" s="76" t="str">
        <f>IF(G55=0, "PAID", "UNPAID")</f>
        <v>UNPAID</v>
      </c>
      <c r="I55" s="24"/>
      <c r="J55" s="25" t="s">
        <v>29</v>
      </c>
      <c r="K55" s="17">
        <f>SUMIF(L40:L49, FALSE, K40:K49)</f>
        <v>12012</v>
      </c>
      <c r="L55" s="76" t="str">
        <f>IF(K55=0, "PAID", "UNPAID")</f>
        <v>UNPAID</v>
      </c>
      <c r="M55" s="24"/>
      <c r="N55" s="25" t="s">
        <v>29</v>
      </c>
      <c r="O55" s="14">
        <f>SUMIF(P40:P50, FALSE, O40:O50)</f>
        <v>14694</v>
      </c>
      <c r="P55" s="76" t="str">
        <f>IF(O55=0, "PAID", "UNPAID")</f>
        <v>UNPAID</v>
      </c>
      <c r="Q55" s="24"/>
      <c r="R55" s="25" t="s">
        <v>29</v>
      </c>
      <c r="S55" s="17">
        <f>SUMIF(T40:T49, FALSE, S40:S49)</f>
        <v>12012</v>
      </c>
      <c r="T55" s="76" t="str">
        <f>IF(S55=0, "PAID", "UNPAID")</f>
        <v>UNPAID</v>
      </c>
      <c r="U55" s="24"/>
      <c r="V55" s="25" t="s">
        <v>29</v>
      </c>
      <c r="W55" s="17">
        <f>SUMIF(X40:X49, FALSE, W40:W49)</f>
        <v>14385</v>
      </c>
      <c r="X55" s="73" t="str">
        <f>IF(W55=0, "PAID", "UNPAID")</f>
        <v>UNPAID</v>
      </c>
    </row>
    <row r="56" spans="2:24" x14ac:dyDescent="0.25">
      <c r="B56" s="10" t="s">
        <v>30</v>
      </c>
      <c r="C56" s="14">
        <f>SUMIF(D40:D49,TRUE,C40:C49)</f>
        <v>13907</v>
      </c>
      <c r="D56" s="74"/>
      <c r="F56" s="10" t="s">
        <v>30</v>
      </c>
      <c r="G56" s="14">
        <f>SUMIF(H40:H51,TRUE,G40:G51)</f>
        <v>0</v>
      </c>
      <c r="H56" s="77"/>
      <c r="I56" s="24"/>
      <c r="J56" s="26" t="s">
        <v>30</v>
      </c>
      <c r="K56" s="14">
        <f>SUMIF(L40:L49,TRUE,K40:K49)</f>
        <v>0</v>
      </c>
      <c r="L56" s="77"/>
      <c r="M56" s="24"/>
      <c r="N56" s="26" t="s">
        <v>30</v>
      </c>
      <c r="O56" s="14">
        <f>SUMIF(P40:P50,TRUE,O40:O50)</f>
        <v>0</v>
      </c>
      <c r="P56" s="77"/>
      <c r="Q56" s="24"/>
      <c r="R56" s="26" t="s">
        <v>30</v>
      </c>
      <c r="S56" s="14">
        <f>SUMIF(T40:T49,TRUE,S40:S49)</f>
        <v>0</v>
      </c>
      <c r="T56" s="77"/>
      <c r="U56" s="24"/>
      <c r="V56" s="26" t="s">
        <v>30</v>
      </c>
      <c r="W56" s="14">
        <f>SUMIF(X40:X49,TRUE,W40:W49)</f>
        <v>0</v>
      </c>
      <c r="X56" s="74"/>
    </row>
    <row r="57" spans="2:24" x14ac:dyDescent="0.25">
      <c r="B57" s="11" t="s">
        <v>31</v>
      </c>
      <c r="C57" s="15">
        <f>SUM(C40:C49)</f>
        <v>13907</v>
      </c>
      <c r="D57" s="75"/>
      <c r="F57" s="11" t="s">
        <v>31</v>
      </c>
      <c r="G57" s="15">
        <f>SUM(G40:G51)</f>
        <v>15284</v>
      </c>
      <c r="H57" s="78"/>
      <c r="I57" s="24"/>
      <c r="J57" s="27" t="s">
        <v>31</v>
      </c>
      <c r="K57" s="15">
        <f>SUM(K40:K49)</f>
        <v>12012</v>
      </c>
      <c r="L57" s="78"/>
      <c r="M57" s="24"/>
      <c r="N57" s="27" t="s">
        <v>31</v>
      </c>
      <c r="O57" s="15">
        <f>SUM(O40:O50)</f>
        <v>14694</v>
      </c>
      <c r="P57" s="78"/>
      <c r="Q57" s="24"/>
      <c r="R57" s="27" t="s">
        <v>31</v>
      </c>
      <c r="S57" s="15">
        <f>SUM(S40:S49)</f>
        <v>12012</v>
      </c>
      <c r="T57" s="78"/>
      <c r="U57" s="24"/>
      <c r="V57" s="27" t="s">
        <v>31</v>
      </c>
      <c r="W57" s="15">
        <f>SUM(W40:W49)</f>
        <v>14385</v>
      </c>
      <c r="X57" s="75"/>
    </row>
    <row r="59" spans="2:24" x14ac:dyDescent="0.25">
      <c r="B59" s="22">
        <v>46249</v>
      </c>
      <c r="C59" s="23" t="s">
        <v>1</v>
      </c>
      <c r="D59" s="23" t="s">
        <v>28</v>
      </c>
      <c r="E59" s="29"/>
      <c r="F59" s="22">
        <v>46264</v>
      </c>
      <c r="G59" s="23" t="s">
        <v>1</v>
      </c>
      <c r="H59" s="23" t="s">
        <v>28</v>
      </c>
      <c r="I59" s="29"/>
      <c r="J59" s="20">
        <v>46280</v>
      </c>
      <c r="K59" s="21" t="s">
        <v>1</v>
      </c>
      <c r="L59" s="21" t="s">
        <v>28</v>
      </c>
      <c r="M59" s="29"/>
      <c r="N59" s="20">
        <v>46295</v>
      </c>
      <c r="O59" s="21" t="s">
        <v>1</v>
      </c>
      <c r="P59" s="21" t="s">
        <v>28</v>
      </c>
      <c r="Q59" s="29"/>
      <c r="R59" s="22">
        <v>46310</v>
      </c>
      <c r="S59" s="23" t="s">
        <v>1</v>
      </c>
      <c r="T59" s="23" t="s">
        <v>28</v>
      </c>
      <c r="U59" s="29"/>
      <c r="V59" s="22">
        <v>46325</v>
      </c>
      <c r="W59" s="23" t="s">
        <v>1</v>
      </c>
      <c r="X59" s="23" t="s">
        <v>28</v>
      </c>
    </row>
    <row r="60" spans="2:24" x14ac:dyDescent="0.25">
      <c r="B60" s="30" t="s">
        <v>2</v>
      </c>
      <c r="C60" s="42">
        <v>1875</v>
      </c>
      <c r="D60" s="40" t="b">
        <v>0</v>
      </c>
      <c r="E60" s="43"/>
      <c r="F60" s="41" t="s">
        <v>27</v>
      </c>
      <c r="G60" s="42">
        <v>749</v>
      </c>
      <c r="H60" s="40" t="b">
        <v>0</v>
      </c>
      <c r="I60" s="43"/>
      <c r="J60" s="41" t="s">
        <v>19</v>
      </c>
      <c r="K60" s="46">
        <v>2416</v>
      </c>
      <c r="L60" s="40" t="b">
        <v>0</v>
      </c>
      <c r="M60" s="43"/>
      <c r="N60" s="41" t="s">
        <v>19</v>
      </c>
      <c r="O60" s="46">
        <v>2416</v>
      </c>
      <c r="P60" s="40" t="b">
        <v>0</v>
      </c>
      <c r="Q60" s="43"/>
      <c r="R60" s="41" t="s">
        <v>19</v>
      </c>
      <c r="S60" s="46">
        <v>2416</v>
      </c>
      <c r="T60" s="40" t="b">
        <v>0</v>
      </c>
      <c r="U60" s="43"/>
      <c r="V60" s="41" t="s">
        <v>19</v>
      </c>
      <c r="W60" s="46">
        <v>2416</v>
      </c>
      <c r="X60" s="32" t="b">
        <v>0</v>
      </c>
    </row>
    <row r="61" spans="2:24" x14ac:dyDescent="0.25">
      <c r="B61" s="31" t="s">
        <v>19</v>
      </c>
      <c r="C61" s="46">
        <v>2416</v>
      </c>
      <c r="D61" s="44" t="b">
        <v>0</v>
      </c>
      <c r="E61" s="43"/>
      <c r="F61" s="45" t="s">
        <v>19</v>
      </c>
      <c r="G61" s="46">
        <v>2416</v>
      </c>
      <c r="H61" s="44" t="b">
        <v>0</v>
      </c>
      <c r="I61" s="43"/>
      <c r="J61" s="45" t="s">
        <v>18</v>
      </c>
      <c r="K61" s="46">
        <v>1208</v>
      </c>
      <c r="L61" s="44" t="b">
        <v>0</v>
      </c>
      <c r="M61" s="43"/>
      <c r="N61" s="45" t="s">
        <v>18</v>
      </c>
      <c r="O61" s="46">
        <v>1208</v>
      </c>
      <c r="P61" s="44" t="b">
        <v>0</v>
      </c>
      <c r="Q61" s="43"/>
      <c r="R61" s="45" t="s">
        <v>18</v>
      </c>
      <c r="S61" s="46">
        <v>1208</v>
      </c>
      <c r="T61" s="44" t="b">
        <v>0</v>
      </c>
      <c r="U61" s="43"/>
      <c r="V61" s="45" t="s">
        <v>18</v>
      </c>
      <c r="W61" s="46">
        <v>1208</v>
      </c>
      <c r="X61" s="33" t="b">
        <v>0</v>
      </c>
    </row>
    <row r="62" spans="2:24" x14ac:dyDescent="0.25">
      <c r="B62" s="31" t="s">
        <v>18</v>
      </c>
      <c r="C62" s="46">
        <v>1208</v>
      </c>
      <c r="D62" s="44" t="b">
        <v>0</v>
      </c>
      <c r="E62" s="43"/>
      <c r="F62" s="45" t="s">
        <v>18</v>
      </c>
      <c r="G62" s="46">
        <v>1208</v>
      </c>
      <c r="H62" s="44" t="b">
        <v>0</v>
      </c>
      <c r="I62" s="43"/>
      <c r="J62" s="45" t="s">
        <v>4</v>
      </c>
      <c r="K62" s="46">
        <v>986</v>
      </c>
      <c r="L62" s="44" t="b">
        <v>0</v>
      </c>
      <c r="M62" s="43"/>
      <c r="N62" s="45" t="s">
        <v>3</v>
      </c>
      <c r="O62" s="46">
        <v>749</v>
      </c>
      <c r="P62" s="44" t="b">
        <v>0</v>
      </c>
      <c r="Q62" s="43"/>
      <c r="R62" s="45" t="s">
        <v>4</v>
      </c>
      <c r="S62" s="46">
        <v>986</v>
      </c>
      <c r="T62" s="44" t="b">
        <v>0</v>
      </c>
      <c r="U62" s="43"/>
      <c r="V62" s="45" t="s">
        <v>3</v>
      </c>
      <c r="W62" s="46">
        <v>749</v>
      </c>
      <c r="X62" s="33" t="b">
        <v>0</v>
      </c>
    </row>
    <row r="63" spans="2:24" x14ac:dyDescent="0.25">
      <c r="B63" s="31" t="s">
        <v>20</v>
      </c>
      <c r="C63" s="46">
        <v>1896</v>
      </c>
      <c r="D63" s="44" t="b">
        <v>0</v>
      </c>
      <c r="E63" s="43"/>
      <c r="F63" s="45" t="s">
        <v>16</v>
      </c>
      <c r="G63" s="46">
        <v>565</v>
      </c>
      <c r="H63" s="44" t="b">
        <v>0</v>
      </c>
      <c r="I63" s="43"/>
      <c r="J63" s="45" t="s">
        <v>16</v>
      </c>
      <c r="K63" s="46">
        <v>565</v>
      </c>
      <c r="L63" s="44" t="b">
        <v>0</v>
      </c>
      <c r="M63" s="43"/>
      <c r="N63" s="45" t="s">
        <v>21</v>
      </c>
      <c r="O63" s="46">
        <v>1000</v>
      </c>
      <c r="P63" s="44" t="b">
        <v>0</v>
      </c>
      <c r="Q63" s="43"/>
      <c r="R63" s="45" t="s">
        <v>16</v>
      </c>
      <c r="S63" s="46">
        <v>565</v>
      </c>
      <c r="T63" s="44" t="b">
        <v>0</v>
      </c>
      <c r="U63" s="43"/>
      <c r="V63" s="45" t="s">
        <v>21</v>
      </c>
      <c r="W63" s="46">
        <v>1000</v>
      </c>
      <c r="X63" s="33" t="b">
        <v>0</v>
      </c>
    </row>
    <row r="64" spans="2:24" x14ac:dyDescent="0.25">
      <c r="B64" s="31" t="s">
        <v>4</v>
      </c>
      <c r="C64" s="46">
        <v>986</v>
      </c>
      <c r="D64" s="44" t="b">
        <v>0</v>
      </c>
      <c r="E64" s="43"/>
      <c r="F64" s="45" t="s">
        <v>21</v>
      </c>
      <c r="G64" s="46">
        <v>1000</v>
      </c>
      <c r="H64" s="44" t="b">
        <v>0</v>
      </c>
      <c r="I64" s="43"/>
      <c r="J64" s="45" t="s">
        <v>16</v>
      </c>
      <c r="K64" s="46">
        <v>1129</v>
      </c>
      <c r="L64" s="44" t="b">
        <v>0</v>
      </c>
      <c r="M64" s="43"/>
      <c r="N64" s="45" t="s">
        <v>16</v>
      </c>
      <c r="O64" s="46">
        <v>565</v>
      </c>
      <c r="P64" s="44" t="b">
        <v>0</v>
      </c>
      <c r="Q64" s="43"/>
      <c r="R64" s="45" t="s">
        <v>16</v>
      </c>
      <c r="S64" s="46">
        <v>1129</v>
      </c>
      <c r="T64" s="44" t="b">
        <v>0</v>
      </c>
      <c r="U64" s="43"/>
      <c r="V64" s="45" t="s">
        <v>16</v>
      </c>
      <c r="W64" s="46">
        <v>565</v>
      </c>
      <c r="X64" s="33" t="b">
        <v>0</v>
      </c>
    </row>
    <row r="65" spans="2:24" x14ac:dyDescent="0.25">
      <c r="B65" s="31" t="s">
        <v>16</v>
      </c>
      <c r="C65" s="46">
        <v>565</v>
      </c>
      <c r="D65" s="44" t="b">
        <v>0</v>
      </c>
      <c r="E65" s="43"/>
      <c r="F65" s="45" t="s">
        <v>16</v>
      </c>
      <c r="G65" s="46">
        <v>1129</v>
      </c>
      <c r="H65" s="44" t="b">
        <v>0</v>
      </c>
      <c r="I65" s="43"/>
      <c r="J65" s="45"/>
      <c r="K65" s="46"/>
      <c r="L65" s="45"/>
      <c r="M65" s="43"/>
      <c r="N65" s="45" t="s">
        <v>16</v>
      </c>
      <c r="O65" s="46">
        <v>1129</v>
      </c>
      <c r="P65" s="44" t="b">
        <v>0</v>
      </c>
      <c r="Q65" s="43"/>
      <c r="R65" s="45"/>
      <c r="S65" s="46"/>
      <c r="T65" s="45"/>
      <c r="U65" s="43"/>
      <c r="V65" s="45" t="s">
        <v>16</v>
      </c>
      <c r="W65" s="46">
        <v>1129</v>
      </c>
      <c r="X65" s="33" t="b">
        <v>0</v>
      </c>
    </row>
    <row r="66" spans="2:24" x14ac:dyDescent="0.25">
      <c r="B66" s="45" t="s">
        <v>16</v>
      </c>
      <c r="C66" s="46">
        <v>1129</v>
      </c>
      <c r="D66" s="44" t="b">
        <v>0</v>
      </c>
      <c r="E66" s="43"/>
      <c r="F66" s="45"/>
      <c r="G66" s="46"/>
      <c r="H66" s="45"/>
      <c r="I66" s="43"/>
      <c r="J66" s="45"/>
      <c r="K66" s="46"/>
      <c r="L66" s="45"/>
      <c r="M66" s="43"/>
      <c r="N66" s="45"/>
      <c r="O66" s="46"/>
      <c r="P66" s="45"/>
      <c r="Q66" s="43"/>
      <c r="R66" s="45"/>
      <c r="S66" s="46"/>
      <c r="T66" s="45"/>
      <c r="U66" s="43"/>
      <c r="V66" s="45"/>
      <c r="W66" s="46"/>
      <c r="X66" s="31"/>
    </row>
    <row r="67" spans="2:24" x14ac:dyDescent="0.25">
      <c r="B67" s="31"/>
      <c r="C67" s="34"/>
      <c r="D67" s="31"/>
      <c r="E67" s="4"/>
      <c r="F67" s="31"/>
      <c r="G67" s="34"/>
      <c r="H67" s="31"/>
      <c r="I67" s="4"/>
      <c r="J67" s="31"/>
      <c r="K67" s="34"/>
      <c r="L67" s="31"/>
      <c r="M67" s="4"/>
      <c r="N67" s="31"/>
      <c r="O67" s="34"/>
      <c r="P67" s="31"/>
      <c r="Q67" s="4"/>
      <c r="R67" s="31"/>
      <c r="S67" s="34"/>
      <c r="T67" s="31"/>
      <c r="U67" s="4"/>
      <c r="V67" s="31"/>
      <c r="W67" s="34"/>
      <c r="X67" s="31"/>
    </row>
    <row r="68" spans="2:24" x14ac:dyDescent="0.25">
      <c r="B68" s="6"/>
      <c r="C68" s="5"/>
      <c r="D68" s="2"/>
      <c r="F68" s="6"/>
      <c r="G68" s="5"/>
      <c r="H68" s="2"/>
      <c r="J68" s="6"/>
      <c r="K68" s="5"/>
      <c r="L68" s="2"/>
      <c r="N68" s="6"/>
      <c r="O68" s="5"/>
      <c r="P68" s="2"/>
      <c r="R68" s="6"/>
      <c r="S68" s="5"/>
      <c r="T68" s="2"/>
      <c r="V68" s="6"/>
      <c r="W68" s="5"/>
      <c r="X68" s="2"/>
    </row>
    <row r="69" spans="2:24" x14ac:dyDescent="0.25">
      <c r="B69" s="6"/>
      <c r="C69" s="5"/>
      <c r="D69" s="2"/>
      <c r="F69" s="6"/>
      <c r="G69" s="5"/>
      <c r="H69" s="2"/>
      <c r="J69" s="6"/>
      <c r="K69" s="5"/>
      <c r="L69" s="2"/>
      <c r="N69" s="6"/>
      <c r="O69" s="5"/>
      <c r="P69" s="2"/>
      <c r="R69" s="6"/>
      <c r="S69" s="5"/>
      <c r="T69" s="2"/>
      <c r="V69" s="6"/>
      <c r="W69" s="5"/>
      <c r="X69" s="2"/>
    </row>
    <row r="70" spans="2:24" x14ac:dyDescent="0.25">
      <c r="B70" s="6"/>
      <c r="C70" s="5"/>
      <c r="D70" s="2"/>
      <c r="F70" s="6"/>
      <c r="G70" s="5"/>
      <c r="H70" s="2"/>
      <c r="J70" s="6"/>
      <c r="K70" s="5"/>
      <c r="L70" s="2"/>
      <c r="N70" s="6"/>
      <c r="O70" s="5"/>
      <c r="P70" s="2"/>
      <c r="R70" s="6"/>
      <c r="S70" s="5"/>
      <c r="T70" s="2"/>
      <c r="V70" s="6"/>
      <c r="W70" s="5"/>
      <c r="X70" s="2"/>
    </row>
    <row r="71" spans="2:24" x14ac:dyDescent="0.25">
      <c r="B71" s="6"/>
      <c r="C71" s="5"/>
      <c r="D71" s="2"/>
      <c r="F71" s="6"/>
      <c r="G71" s="5"/>
      <c r="H71" s="2"/>
      <c r="J71" s="6"/>
      <c r="K71" s="5"/>
      <c r="L71" s="2"/>
      <c r="N71" s="6"/>
      <c r="O71" s="5"/>
      <c r="P71" s="2"/>
      <c r="R71" s="6"/>
      <c r="S71" s="5"/>
      <c r="T71" s="2"/>
      <c r="V71" s="6"/>
      <c r="W71" s="5"/>
      <c r="X71" s="2"/>
    </row>
    <row r="72" spans="2:24" x14ac:dyDescent="0.25">
      <c r="B72" s="2"/>
      <c r="C72" s="5"/>
      <c r="D72" s="2"/>
      <c r="F72" s="2"/>
      <c r="G72" s="5"/>
      <c r="H72" s="2"/>
      <c r="J72" s="2"/>
      <c r="K72" s="5"/>
      <c r="L72" s="2"/>
      <c r="N72" s="2"/>
      <c r="O72" s="5"/>
      <c r="P72" s="2"/>
      <c r="R72" s="2"/>
      <c r="S72" s="5"/>
      <c r="T72" s="2"/>
      <c r="V72" s="2"/>
      <c r="W72" s="5"/>
      <c r="X72" s="2"/>
    </row>
    <row r="73" spans="2:24" x14ac:dyDescent="0.25">
      <c r="B73" s="2"/>
      <c r="C73" s="5"/>
      <c r="D73" s="2"/>
      <c r="F73" s="2"/>
      <c r="G73" s="5"/>
      <c r="H73" s="2"/>
      <c r="J73" s="2"/>
      <c r="K73" s="5"/>
      <c r="L73" s="2"/>
      <c r="N73" s="2"/>
      <c r="O73" s="1"/>
      <c r="P73" s="2"/>
      <c r="R73" s="2"/>
      <c r="S73" s="5"/>
      <c r="T73" s="2"/>
      <c r="V73" s="2"/>
      <c r="W73" s="5"/>
      <c r="X73" s="2"/>
    </row>
    <row r="74" spans="2:24" x14ac:dyDescent="0.25">
      <c r="B74" s="3"/>
      <c r="C74" s="1"/>
      <c r="D74" s="3"/>
      <c r="F74" s="3"/>
      <c r="G74" s="1"/>
      <c r="H74" s="3"/>
      <c r="J74" s="3"/>
      <c r="K74" s="1"/>
      <c r="L74" s="3"/>
      <c r="N74" s="3"/>
      <c r="O74" s="1"/>
      <c r="P74" s="3"/>
      <c r="R74" s="3"/>
      <c r="S74" s="1"/>
      <c r="T74" s="3"/>
      <c r="V74" s="3"/>
      <c r="W74" s="1"/>
      <c r="X74" s="3"/>
    </row>
    <row r="75" spans="2:24" x14ac:dyDescent="0.25">
      <c r="B75" s="12" t="s">
        <v>29</v>
      </c>
      <c r="C75" s="17">
        <f>SUMIF(D60:D66, FALSE, C60:C66)</f>
        <v>10075</v>
      </c>
      <c r="D75" s="76" t="str">
        <f>IF(C75=0, "PAID", "UNPAID")</f>
        <v>UNPAID</v>
      </c>
      <c r="E75" s="24"/>
      <c r="F75" s="25" t="s">
        <v>29</v>
      </c>
      <c r="G75" s="17">
        <f>SUMIF(H60:H65, FALSE, G60:G65)</f>
        <v>7067</v>
      </c>
      <c r="H75" s="76" t="str">
        <f>IF(G75=0, "PAID", "UNPAID")</f>
        <v>UNPAID</v>
      </c>
      <c r="I75" s="24"/>
      <c r="J75" s="25" t="s">
        <v>29</v>
      </c>
      <c r="K75" s="17">
        <f>SUMIF(L60:L64, FALSE, K60:K64)</f>
        <v>6304</v>
      </c>
      <c r="L75" s="76" t="str">
        <f>IF(K75=0, "PAID", "UNPAID")</f>
        <v>UNPAID</v>
      </c>
      <c r="M75" s="24"/>
      <c r="N75" s="25" t="s">
        <v>29</v>
      </c>
      <c r="O75" s="17">
        <f>SUMIF(P60:P65, FALSE, O60:O65)</f>
        <v>7067</v>
      </c>
      <c r="P75" s="76" t="str">
        <f>IF(O75=0, "PAID", "UNPAID")</f>
        <v>UNPAID</v>
      </c>
      <c r="Q75" s="24"/>
      <c r="R75" s="25" t="s">
        <v>29</v>
      </c>
      <c r="S75" s="17">
        <f>SUMIF(T60:T64, FALSE, S60:S64)</f>
        <v>6304</v>
      </c>
      <c r="T75" s="76" t="str">
        <f>IF(S75=0, "PAID", "UNPAID")</f>
        <v>UNPAID</v>
      </c>
      <c r="U75" s="24"/>
      <c r="V75" s="25" t="s">
        <v>29</v>
      </c>
      <c r="W75" s="17">
        <f>SUMIF(X60:X65, FALSE, W60:W65)</f>
        <v>7067</v>
      </c>
      <c r="X75" s="73" t="str">
        <f>IF(W75=0, "PAID", "UNPAID")</f>
        <v>UNPAID</v>
      </c>
    </row>
    <row r="76" spans="2:24" x14ac:dyDescent="0.25">
      <c r="B76" s="10" t="s">
        <v>30</v>
      </c>
      <c r="C76" s="14">
        <f>SUMIF(D60:D66,TRUE,C60:C66)</f>
        <v>0</v>
      </c>
      <c r="D76" s="77"/>
      <c r="E76" s="24"/>
      <c r="F76" s="26" t="s">
        <v>30</v>
      </c>
      <c r="G76" s="14">
        <f>SUMIF(H60:H65,TRUE,G60:G65)</f>
        <v>0</v>
      </c>
      <c r="H76" s="77"/>
      <c r="I76" s="24"/>
      <c r="J76" s="26" t="s">
        <v>30</v>
      </c>
      <c r="K76" s="14">
        <f>SUMIF(L60:L64,TRUE,K60:K64)</f>
        <v>0</v>
      </c>
      <c r="L76" s="77"/>
      <c r="M76" s="24"/>
      <c r="N76" s="26" t="s">
        <v>30</v>
      </c>
      <c r="O76" s="14">
        <f>SUMIF(P60:P65,TRUE,O60:O65)</f>
        <v>0</v>
      </c>
      <c r="P76" s="77"/>
      <c r="Q76" s="24"/>
      <c r="R76" s="26" t="s">
        <v>30</v>
      </c>
      <c r="S76" s="14">
        <f>SUMIF(T60:T64,TRUE,S60:S64)</f>
        <v>0</v>
      </c>
      <c r="T76" s="77"/>
      <c r="U76" s="24"/>
      <c r="V76" s="26" t="s">
        <v>30</v>
      </c>
      <c r="W76" s="14">
        <f>SUMIF(X60:X65,TRUE,W60:W65)</f>
        <v>0</v>
      </c>
      <c r="X76" s="74"/>
    </row>
    <row r="77" spans="2:24" x14ac:dyDescent="0.25">
      <c r="B77" s="11" t="s">
        <v>31</v>
      </c>
      <c r="C77" s="15">
        <f>SUM(C60:C66)</f>
        <v>10075</v>
      </c>
      <c r="D77" s="78"/>
      <c r="E77" s="24"/>
      <c r="F77" s="27" t="s">
        <v>31</v>
      </c>
      <c r="G77" s="15">
        <f>SUM(G60:G65)</f>
        <v>7067</v>
      </c>
      <c r="H77" s="78"/>
      <c r="I77" s="24"/>
      <c r="J77" s="27" t="s">
        <v>31</v>
      </c>
      <c r="K77" s="15">
        <f>SUM(K60:K64)</f>
        <v>6304</v>
      </c>
      <c r="L77" s="78"/>
      <c r="M77" s="24"/>
      <c r="N77" s="27" t="s">
        <v>31</v>
      </c>
      <c r="O77" s="15">
        <f>SUM(O60:O65)</f>
        <v>7067</v>
      </c>
      <c r="P77" s="78"/>
      <c r="Q77" s="24"/>
      <c r="R77" s="27" t="s">
        <v>31</v>
      </c>
      <c r="S77" s="15">
        <f>SUM(S60:S64)</f>
        <v>6304</v>
      </c>
      <c r="T77" s="78"/>
      <c r="U77" s="24"/>
      <c r="V77" s="27" t="s">
        <v>31</v>
      </c>
      <c r="W77" s="15">
        <f>SUM(W60:W65)</f>
        <v>7067</v>
      </c>
      <c r="X77" s="75"/>
    </row>
    <row r="79" spans="2:24" x14ac:dyDescent="0.25">
      <c r="B79" s="20">
        <v>46341</v>
      </c>
      <c r="C79" s="21" t="s">
        <v>1</v>
      </c>
      <c r="D79" s="21" t="s">
        <v>28</v>
      </c>
      <c r="F79" s="20">
        <v>46356</v>
      </c>
      <c r="G79" s="21" t="s">
        <v>1</v>
      </c>
      <c r="H79" s="21" t="s">
        <v>28</v>
      </c>
      <c r="J79" s="22">
        <v>46371</v>
      </c>
      <c r="K79" s="23" t="s">
        <v>1</v>
      </c>
      <c r="L79" s="23" t="s">
        <v>28</v>
      </c>
      <c r="N79" s="22">
        <v>46386</v>
      </c>
      <c r="O79" s="23" t="s">
        <v>1</v>
      </c>
      <c r="P79" s="23" t="s">
        <v>28</v>
      </c>
      <c r="R79" s="20">
        <v>46402</v>
      </c>
      <c r="S79" s="21" t="s">
        <v>1</v>
      </c>
      <c r="T79" s="21" t="s">
        <v>28</v>
      </c>
      <c r="V79" s="20">
        <v>46417</v>
      </c>
      <c r="W79" s="21" t="s">
        <v>1</v>
      </c>
      <c r="X79" s="21" t="s">
        <v>28</v>
      </c>
    </row>
    <row r="80" spans="2:24" x14ac:dyDescent="0.25">
      <c r="B80" s="41" t="s">
        <v>19</v>
      </c>
      <c r="C80" s="46">
        <v>2416</v>
      </c>
      <c r="D80" s="32" t="b">
        <v>0</v>
      </c>
      <c r="F80" s="41" t="s">
        <v>19</v>
      </c>
      <c r="G80" s="46">
        <v>2416</v>
      </c>
      <c r="H80" s="32" t="b">
        <v>0</v>
      </c>
      <c r="J80" s="41" t="s">
        <v>19</v>
      </c>
      <c r="K80" s="46">
        <v>2416</v>
      </c>
      <c r="L80" s="32" t="b">
        <v>0</v>
      </c>
      <c r="N80" s="45" t="s">
        <v>3</v>
      </c>
      <c r="O80" s="46">
        <v>749</v>
      </c>
      <c r="P80" s="33" t="b">
        <v>0</v>
      </c>
      <c r="R80" s="45" t="s">
        <v>16</v>
      </c>
      <c r="S80" s="46">
        <v>565</v>
      </c>
      <c r="T80" s="33" t="b">
        <v>0</v>
      </c>
      <c r="V80" s="45" t="s">
        <v>3</v>
      </c>
      <c r="W80" s="46">
        <v>749</v>
      </c>
      <c r="X80" s="33" t="b">
        <v>0</v>
      </c>
    </row>
    <row r="81" spans="2:24" x14ac:dyDescent="0.25">
      <c r="B81" s="45" t="s">
        <v>18</v>
      </c>
      <c r="C81" s="46">
        <v>1208</v>
      </c>
      <c r="D81" s="33" t="b">
        <v>0</v>
      </c>
      <c r="F81" s="45" t="s">
        <v>18</v>
      </c>
      <c r="G81" s="46">
        <v>1208</v>
      </c>
      <c r="H81" s="33" t="b">
        <v>0</v>
      </c>
      <c r="J81" s="45" t="s">
        <v>16</v>
      </c>
      <c r="K81" s="46">
        <v>1129</v>
      </c>
      <c r="L81" s="33" t="b">
        <v>0</v>
      </c>
      <c r="N81" s="45" t="s">
        <v>21</v>
      </c>
      <c r="O81" s="46">
        <v>1000</v>
      </c>
      <c r="P81" s="33" t="b">
        <v>0</v>
      </c>
      <c r="R81" s="45" t="s">
        <v>16</v>
      </c>
      <c r="S81" s="46">
        <v>1129</v>
      </c>
      <c r="T81" s="33" t="b">
        <v>0</v>
      </c>
      <c r="V81" s="45" t="s">
        <v>21</v>
      </c>
      <c r="W81" s="46">
        <v>1000</v>
      </c>
      <c r="X81" s="33" t="b">
        <v>0</v>
      </c>
    </row>
    <row r="82" spans="2:24" x14ac:dyDescent="0.25">
      <c r="B82" s="45" t="s">
        <v>4</v>
      </c>
      <c r="C82" s="46">
        <v>986</v>
      </c>
      <c r="D82" s="33" t="b">
        <v>0</v>
      </c>
      <c r="F82" s="45" t="s">
        <v>3</v>
      </c>
      <c r="G82" s="46">
        <v>749</v>
      </c>
      <c r="H82" s="33" t="b">
        <v>0</v>
      </c>
      <c r="J82" s="45" t="s">
        <v>16</v>
      </c>
      <c r="K82" s="46">
        <v>565</v>
      </c>
      <c r="L82" s="33" t="b">
        <v>0</v>
      </c>
      <c r="N82" s="45" t="s">
        <v>16</v>
      </c>
      <c r="O82" s="46">
        <v>565</v>
      </c>
      <c r="P82" s="33" t="b">
        <v>0</v>
      </c>
      <c r="R82" s="45"/>
      <c r="S82" s="46"/>
      <c r="T82" s="31"/>
      <c r="V82" s="45" t="s">
        <v>16</v>
      </c>
      <c r="W82" s="46">
        <v>565</v>
      </c>
      <c r="X82" s="33" t="b">
        <v>0</v>
      </c>
    </row>
    <row r="83" spans="2:24" x14ac:dyDescent="0.25">
      <c r="B83" s="45" t="s">
        <v>16</v>
      </c>
      <c r="C83" s="46">
        <v>565</v>
      </c>
      <c r="D83" s="33" t="b">
        <v>0</v>
      </c>
      <c r="F83" s="45" t="s">
        <v>21</v>
      </c>
      <c r="G83" s="46">
        <v>1000</v>
      </c>
      <c r="H83" s="33" t="b">
        <v>0</v>
      </c>
      <c r="J83" s="45"/>
      <c r="K83" s="46"/>
      <c r="L83" s="31"/>
      <c r="N83" s="45" t="s">
        <v>16</v>
      </c>
      <c r="O83" s="46">
        <v>1129</v>
      </c>
      <c r="P83" s="33" t="b">
        <v>0</v>
      </c>
      <c r="R83" s="45"/>
      <c r="S83" s="46"/>
      <c r="T83" s="31"/>
      <c r="V83" s="45" t="s">
        <v>16</v>
      </c>
      <c r="W83" s="46">
        <v>1129</v>
      </c>
      <c r="X83" s="33" t="b">
        <v>0</v>
      </c>
    </row>
    <row r="84" spans="2:24" x14ac:dyDescent="0.25">
      <c r="B84" s="45" t="s">
        <v>16</v>
      </c>
      <c r="C84" s="46">
        <v>1129</v>
      </c>
      <c r="D84" s="33" t="b">
        <v>0</v>
      </c>
      <c r="F84" s="45" t="s">
        <v>16</v>
      </c>
      <c r="G84" s="46">
        <v>565</v>
      </c>
      <c r="H84" s="33" t="b">
        <v>0</v>
      </c>
      <c r="J84" s="45"/>
      <c r="K84" s="46"/>
      <c r="L84" s="31"/>
      <c r="N84" s="45"/>
      <c r="O84" s="46"/>
      <c r="P84" s="31"/>
      <c r="R84" s="45"/>
      <c r="S84" s="46"/>
      <c r="T84" s="31"/>
      <c r="V84" s="45"/>
      <c r="W84" s="46"/>
      <c r="X84" s="31"/>
    </row>
    <row r="85" spans="2:24" x14ac:dyDescent="0.25">
      <c r="B85" s="45"/>
      <c r="C85" s="46"/>
      <c r="D85" s="31"/>
      <c r="F85" s="45" t="s">
        <v>16</v>
      </c>
      <c r="G85" s="46">
        <v>1129</v>
      </c>
      <c r="H85" s="33" t="b">
        <v>0</v>
      </c>
      <c r="J85" s="45"/>
      <c r="K85" s="46"/>
      <c r="L85" s="31"/>
      <c r="N85" s="45"/>
      <c r="O85" s="46"/>
      <c r="P85" s="31"/>
      <c r="R85" s="45"/>
      <c r="S85" s="46"/>
      <c r="T85" s="31"/>
      <c r="V85" s="45"/>
      <c r="W85" s="46"/>
      <c r="X85" s="31"/>
    </row>
    <row r="86" spans="2:24" x14ac:dyDescent="0.25">
      <c r="B86" s="45"/>
      <c r="C86" s="46"/>
      <c r="D86" s="31"/>
      <c r="F86" s="45"/>
      <c r="G86" s="46"/>
      <c r="H86" s="31"/>
      <c r="J86" s="45"/>
      <c r="K86" s="46"/>
      <c r="L86" s="31"/>
      <c r="N86" s="45"/>
      <c r="O86" s="46"/>
      <c r="P86" s="31"/>
      <c r="R86" s="45"/>
      <c r="S86" s="46"/>
      <c r="T86" s="31"/>
      <c r="V86" s="45"/>
      <c r="W86" s="46"/>
      <c r="X86" s="31"/>
    </row>
    <row r="87" spans="2:24" x14ac:dyDescent="0.25">
      <c r="B87" s="31"/>
      <c r="C87" s="34"/>
      <c r="D87" s="31"/>
      <c r="F87" s="31"/>
      <c r="G87" s="34"/>
      <c r="H87" s="31"/>
      <c r="J87" s="31"/>
      <c r="K87" s="34"/>
      <c r="L87" s="31"/>
      <c r="N87" s="31"/>
      <c r="O87" s="34"/>
      <c r="P87" s="31"/>
      <c r="R87" s="31"/>
      <c r="S87" s="34"/>
      <c r="T87" s="31"/>
      <c r="V87" s="31"/>
      <c r="W87" s="34"/>
      <c r="X87" s="31"/>
    </row>
    <row r="88" spans="2:24" x14ac:dyDescent="0.25">
      <c r="B88" s="6"/>
      <c r="C88" s="5"/>
      <c r="D88" s="2"/>
      <c r="F88" s="6"/>
      <c r="G88" s="5"/>
      <c r="H88" s="2"/>
      <c r="J88" s="6"/>
      <c r="K88" s="5"/>
      <c r="L88" s="2"/>
      <c r="N88" s="6"/>
      <c r="O88" s="5"/>
      <c r="P88" s="2"/>
      <c r="R88" s="6"/>
      <c r="S88" s="5"/>
      <c r="T88" s="2"/>
      <c r="V88" s="6"/>
      <c r="W88" s="5"/>
      <c r="X88" s="2"/>
    </row>
    <row r="89" spans="2:24" x14ac:dyDescent="0.25">
      <c r="B89" s="6"/>
      <c r="C89" s="5"/>
      <c r="D89" s="2"/>
      <c r="F89" s="6"/>
      <c r="G89" s="5"/>
      <c r="H89" s="2"/>
      <c r="J89" s="6"/>
      <c r="K89" s="5"/>
      <c r="L89" s="2"/>
      <c r="N89" s="6"/>
      <c r="O89" s="5"/>
      <c r="P89" s="2"/>
      <c r="R89" s="6"/>
      <c r="S89" s="5"/>
      <c r="T89" s="2"/>
      <c r="V89" s="6"/>
      <c r="W89" s="5"/>
      <c r="X89" s="2"/>
    </row>
    <row r="90" spans="2:24" x14ac:dyDescent="0.25">
      <c r="B90" s="6"/>
      <c r="C90" s="5"/>
      <c r="D90" s="2"/>
      <c r="F90" s="6"/>
      <c r="G90" s="5"/>
      <c r="H90" s="2"/>
      <c r="J90" s="6"/>
      <c r="K90" s="5"/>
      <c r="L90" s="2"/>
      <c r="N90" s="6"/>
      <c r="O90" s="5"/>
      <c r="P90" s="2"/>
      <c r="R90" s="6"/>
      <c r="S90" s="5"/>
      <c r="T90" s="2"/>
      <c r="V90" s="6"/>
      <c r="W90" s="5"/>
      <c r="X90" s="2"/>
    </row>
    <row r="91" spans="2:24" x14ac:dyDescent="0.25">
      <c r="B91" s="6"/>
      <c r="C91" s="5"/>
      <c r="D91" s="2"/>
      <c r="F91" s="6"/>
      <c r="G91" s="5"/>
      <c r="H91" s="2"/>
      <c r="J91" s="6"/>
      <c r="K91" s="5"/>
      <c r="L91" s="2"/>
      <c r="N91" s="6"/>
      <c r="O91" s="5"/>
      <c r="P91" s="2"/>
      <c r="R91" s="6"/>
      <c r="S91" s="5"/>
      <c r="T91" s="2"/>
      <c r="V91" s="6"/>
      <c r="W91" s="5"/>
      <c r="X91" s="2"/>
    </row>
    <row r="92" spans="2:24" x14ac:dyDescent="0.25">
      <c r="B92" s="2"/>
      <c r="C92" s="5"/>
      <c r="D92" s="2"/>
      <c r="F92" s="2"/>
      <c r="G92" s="5"/>
      <c r="H92" s="2"/>
      <c r="J92" s="2"/>
      <c r="K92" s="5"/>
      <c r="L92" s="2"/>
      <c r="N92" s="2"/>
      <c r="O92" s="5"/>
      <c r="P92" s="2"/>
      <c r="R92" s="2"/>
      <c r="S92" s="5"/>
      <c r="T92" s="2"/>
      <c r="V92" s="2"/>
      <c r="W92" s="5"/>
      <c r="X92" s="2"/>
    </row>
    <row r="93" spans="2:24" x14ac:dyDescent="0.25">
      <c r="B93" s="2"/>
      <c r="C93" s="5"/>
      <c r="D93" s="2"/>
      <c r="F93" s="2"/>
      <c r="G93" s="5"/>
      <c r="H93" s="2"/>
      <c r="J93" s="2"/>
      <c r="K93" s="5"/>
      <c r="L93" s="2"/>
      <c r="N93" s="2"/>
      <c r="O93" s="5"/>
      <c r="P93" s="2"/>
      <c r="R93" s="2"/>
      <c r="S93" s="5"/>
      <c r="T93" s="2"/>
      <c r="V93" s="2"/>
      <c r="W93" s="5"/>
      <c r="X93" s="2"/>
    </row>
    <row r="94" spans="2:24" x14ac:dyDescent="0.25">
      <c r="B94" s="3"/>
      <c r="C94" s="1"/>
      <c r="D94" s="3"/>
      <c r="F94" s="3"/>
      <c r="G94" s="1"/>
      <c r="H94" s="3"/>
      <c r="J94" s="3"/>
      <c r="K94" s="1"/>
      <c r="L94" s="3"/>
      <c r="N94" s="3"/>
      <c r="O94" s="1"/>
      <c r="P94" s="3"/>
      <c r="R94" s="3"/>
      <c r="S94" s="1"/>
      <c r="T94" s="3"/>
      <c r="V94" s="3"/>
      <c r="W94" s="1"/>
      <c r="X94" s="3"/>
    </row>
    <row r="95" spans="2:24" x14ac:dyDescent="0.25">
      <c r="B95" s="25" t="s">
        <v>29</v>
      </c>
      <c r="C95" s="17">
        <f>SUMIF(D80:D85, FALSE, C80:C85)</f>
        <v>6304</v>
      </c>
      <c r="D95" s="73" t="str">
        <f>IF(C95=0, "PAID", "UNPAID")</f>
        <v>UNPAID</v>
      </c>
      <c r="F95" s="25" t="s">
        <v>29</v>
      </c>
      <c r="G95" s="17">
        <f>SUMIF(H80:H85, FALSE, G80:G85)</f>
        <v>7067</v>
      </c>
      <c r="H95" s="73" t="str">
        <f>IF(G95=0, "PAID", "UNPAID")</f>
        <v>UNPAID</v>
      </c>
      <c r="J95" s="25" t="s">
        <v>29</v>
      </c>
      <c r="K95" s="17">
        <f>SUMIF(L80:L85, FALSE, K80:K85)</f>
        <v>4110</v>
      </c>
      <c r="L95" s="73" t="str">
        <f>IF(K95=0, "PAID", "UNPAID")</f>
        <v>UNPAID</v>
      </c>
      <c r="N95" s="25" t="s">
        <v>29</v>
      </c>
      <c r="O95" s="17">
        <f>SUMIF(P80:P85, FALSE, O80:O85)</f>
        <v>3443</v>
      </c>
      <c r="P95" s="73" t="str">
        <f>IF(O95=0, "PAID", "UNPAID")</f>
        <v>UNPAID</v>
      </c>
      <c r="R95" s="25" t="s">
        <v>29</v>
      </c>
      <c r="S95" s="17">
        <f>SUMIF(T80:T85, FALSE, S80:S85)</f>
        <v>1694</v>
      </c>
      <c r="T95" s="73" t="str">
        <f>IF(S95=0, "PAID", "UNPAID")</f>
        <v>UNPAID</v>
      </c>
      <c r="V95" s="25" t="s">
        <v>29</v>
      </c>
      <c r="W95" s="17">
        <f>SUMIF(X80:X85, FALSE, W80:W85)</f>
        <v>3443</v>
      </c>
      <c r="X95" s="73" t="str">
        <f>IF(W95=0, "PAID", "UNPAID")</f>
        <v>UNPAID</v>
      </c>
    </row>
    <row r="96" spans="2:24" x14ac:dyDescent="0.25">
      <c r="B96" s="26" t="s">
        <v>30</v>
      </c>
      <c r="C96" s="14">
        <f>SUMIF(D80:D85,TRUE,C80:C85)</f>
        <v>0</v>
      </c>
      <c r="D96" s="74"/>
      <c r="F96" s="26" t="s">
        <v>30</v>
      </c>
      <c r="G96" s="14">
        <f>SUMIF(H80:H85,TRUE,G80:G85)</f>
        <v>0</v>
      </c>
      <c r="H96" s="74"/>
      <c r="J96" s="26" t="s">
        <v>30</v>
      </c>
      <c r="K96" s="14">
        <f>SUMIF(L80:L85,TRUE,K80:K85)</f>
        <v>0</v>
      </c>
      <c r="L96" s="74"/>
      <c r="N96" s="26" t="s">
        <v>30</v>
      </c>
      <c r="O96" s="14">
        <f>SUMIF(P80:P85,TRUE,O80:O85)</f>
        <v>0</v>
      </c>
      <c r="P96" s="74"/>
      <c r="R96" s="26" t="s">
        <v>30</v>
      </c>
      <c r="S96" s="14">
        <f>SUMIF(T80:T85,TRUE,S80:S85)</f>
        <v>0</v>
      </c>
      <c r="T96" s="74"/>
      <c r="V96" s="26" t="s">
        <v>30</v>
      </c>
      <c r="W96" s="14">
        <f>SUMIF(X80:X85,TRUE,W80:W85)</f>
        <v>0</v>
      </c>
      <c r="X96" s="74"/>
    </row>
    <row r="97" spans="2:24" x14ac:dyDescent="0.25">
      <c r="B97" s="27" t="s">
        <v>31</v>
      </c>
      <c r="C97" s="15">
        <f>SUM(C80:C85)</f>
        <v>6304</v>
      </c>
      <c r="D97" s="75"/>
      <c r="F97" s="27" t="s">
        <v>31</v>
      </c>
      <c r="G97" s="15">
        <f>SUM(G80:G85)</f>
        <v>7067</v>
      </c>
      <c r="H97" s="75"/>
      <c r="J97" s="27" t="s">
        <v>31</v>
      </c>
      <c r="K97" s="15">
        <f>SUM(K80:K85)</f>
        <v>4110</v>
      </c>
      <c r="L97" s="75"/>
      <c r="N97" s="27" t="s">
        <v>31</v>
      </c>
      <c r="O97" s="15">
        <f>SUM(O80:O85)</f>
        <v>3443</v>
      </c>
      <c r="P97" s="75"/>
      <c r="R97" s="27" t="s">
        <v>31</v>
      </c>
      <c r="S97" s="15">
        <f>SUM(S80:S85)</f>
        <v>1694</v>
      </c>
      <c r="T97" s="75"/>
      <c r="V97" s="27" t="s">
        <v>31</v>
      </c>
      <c r="W97" s="15">
        <f>SUM(W80:W85)</f>
        <v>3443</v>
      </c>
      <c r="X97" s="75"/>
    </row>
    <row r="99" spans="2:24" ht="15.75" thickBot="1" x14ac:dyDescent="0.3">
      <c r="B99" s="22">
        <v>46433</v>
      </c>
      <c r="C99" s="23" t="s">
        <v>1</v>
      </c>
      <c r="D99" s="23" t="s">
        <v>28</v>
      </c>
      <c r="F99" s="22">
        <v>46446</v>
      </c>
      <c r="G99" s="23" t="s">
        <v>1</v>
      </c>
      <c r="H99" s="23" t="s">
        <v>28</v>
      </c>
      <c r="J99" s="20">
        <v>46461</v>
      </c>
      <c r="K99" s="21" t="s">
        <v>1</v>
      </c>
      <c r="L99" s="21" t="s">
        <v>28</v>
      </c>
      <c r="N99" s="20">
        <v>46476</v>
      </c>
      <c r="O99" s="21" t="s">
        <v>1</v>
      </c>
      <c r="P99" s="21" t="s">
        <v>28</v>
      </c>
      <c r="R99" s="63" t="s">
        <v>44</v>
      </c>
      <c r="S99" s="64" t="s">
        <v>1</v>
      </c>
      <c r="T99" s="65" t="s">
        <v>45</v>
      </c>
      <c r="V99" s="63" t="s">
        <v>46</v>
      </c>
      <c r="W99" s="64" t="s">
        <v>1</v>
      </c>
      <c r="X99" s="65" t="s">
        <v>45</v>
      </c>
    </row>
    <row r="100" spans="2:24" x14ac:dyDescent="0.25">
      <c r="B100" s="45" t="s">
        <v>16</v>
      </c>
      <c r="C100" s="46">
        <v>565</v>
      </c>
      <c r="D100" s="33" t="b">
        <v>0</v>
      </c>
      <c r="F100" s="45" t="s">
        <v>3</v>
      </c>
      <c r="G100" s="46">
        <v>749</v>
      </c>
      <c r="H100" s="33" t="b">
        <v>0</v>
      </c>
      <c r="J100" s="45" t="s">
        <v>16</v>
      </c>
      <c r="K100" s="46">
        <v>565</v>
      </c>
      <c r="L100" s="33" t="b">
        <v>0</v>
      </c>
      <c r="N100" s="45" t="s">
        <v>3</v>
      </c>
      <c r="O100" s="46">
        <v>749</v>
      </c>
      <c r="P100" s="33" t="b">
        <v>0</v>
      </c>
      <c r="R100" s="56">
        <v>45931</v>
      </c>
      <c r="S100" s="60">
        <v>223.86</v>
      </c>
      <c r="T100" s="58">
        <v>223.86</v>
      </c>
      <c r="V100" s="56">
        <v>45931</v>
      </c>
      <c r="W100" s="60">
        <v>407.05</v>
      </c>
      <c r="X100" s="58">
        <v>407.05</v>
      </c>
    </row>
    <row r="101" spans="2:24" x14ac:dyDescent="0.25">
      <c r="B101" s="45" t="s">
        <v>16</v>
      </c>
      <c r="C101" s="46">
        <v>1129</v>
      </c>
      <c r="D101" s="33" t="b">
        <v>0</v>
      </c>
      <c r="F101" s="45" t="s">
        <v>21</v>
      </c>
      <c r="G101" s="46">
        <v>1000</v>
      </c>
      <c r="H101" s="33" t="b">
        <v>0</v>
      </c>
      <c r="J101" s="45" t="s">
        <v>16</v>
      </c>
      <c r="K101" s="46">
        <v>1129</v>
      </c>
      <c r="L101" s="33" t="b">
        <v>0</v>
      </c>
      <c r="N101" s="45" t="s">
        <v>21</v>
      </c>
      <c r="O101" s="46">
        <v>1000</v>
      </c>
      <c r="P101" s="33" t="b">
        <v>0</v>
      </c>
      <c r="R101" s="57">
        <v>45962</v>
      </c>
      <c r="S101" s="61">
        <v>223.86</v>
      </c>
      <c r="T101" s="59">
        <v>223.86</v>
      </c>
      <c r="V101" s="57">
        <v>45962</v>
      </c>
      <c r="W101" s="61">
        <v>407.05</v>
      </c>
      <c r="X101" s="59">
        <v>407.05</v>
      </c>
    </row>
    <row r="102" spans="2:24" x14ac:dyDescent="0.25">
      <c r="B102" s="45"/>
      <c r="C102" s="46"/>
      <c r="D102" s="31"/>
      <c r="F102" s="45" t="s">
        <v>16</v>
      </c>
      <c r="G102" s="46">
        <v>565</v>
      </c>
      <c r="H102" s="33" t="b">
        <v>0</v>
      </c>
      <c r="J102" s="45"/>
      <c r="K102" s="46"/>
      <c r="L102" s="31"/>
      <c r="N102" s="45"/>
      <c r="O102" s="46"/>
      <c r="P102" s="31"/>
      <c r="R102" s="57">
        <v>45992</v>
      </c>
      <c r="S102" s="61">
        <v>223.86</v>
      </c>
      <c r="T102" s="59">
        <v>500</v>
      </c>
      <c r="V102" s="57">
        <v>45992</v>
      </c>
      <c r="W102" s="61">
        <v>407.05</v>
      </c>
      <c r="X102" s="14">
        <v>1000</v>
      </c>
    </row>
    <row r="103" spans="2:24" x14ac:dyDescent="0.25">
      <c r="B103" s="45"/>
      <c r="C103" s="46"/>
      <c r="D103" s="31"/>
      <c r="F103" s="45" t="s">
        <v>16</v>
      </c>
      <c r="G103" s="46">
        <v>1129</v>
      </c>
      <c r="H103" s="33" t="b">
        <v>0</v>
      </c>
      <c r="J103" s="45"/>
      <c r="K103" s="46"/>
      <c r="L103" s="31"/>
      <c r="N103" s="45"/>
      <c r="O103" s="46"/>
      <c r="P103" s="31"/>
      <c r="R103" s="57">
        <v>46023</v>
      </c>
      <c r="S103" s="61">
        <v>223.86</v>
      </c>
      <c r="T103" s="59">
        <v>50</v>
      </c>
      <c r="V103" s="57">
        <v>46023</v>
      </c>
      <c r="W103" s="61">
        <v>407.05</v>
      </c>
      <c r="X103" s="59">
        <v>100</v>
      </c>
    </row>
    <row r="104" spans="2:24" x14ac:dyDescent="0.25">
      <c r="B104" s="45"/>
      <c r="C104" s="46"/>
      <c r="D104" s="31"/>
      <c r="F104" s="45"/>
      <c r="G104" s="46"/>
      <c r="H104" s="31"/>
      <c r="J104" s="45"/>
      <c r="K104" s="46"/>
      <c r="L104" s="31"/>
      <c r="N104" s="45"/>
      <c r="O104" s="46"/>
      <c r="P104" s="31"/>
      <c r="R104" s="57">
        <v>46054</v>
      </c>
      <c r="S104" s="61">
        <v>223.86</v>
      </c>
      <c r="T104" s="1"/>
      <c r="V104" s="57">
        <v>46054</v>
      </c>
      <c r="W104" s="61">
        <v>407.05</v>
      </c>
      <c r="X104" s="1"/>
    </row>
    <row r="105" spans="2:24" x14ac:dyDescent="0.25">
      <c r="B105" s="45"/>
      <c r="C105" s="46"/>
      <c r="D105" s="31"/>
      <c r="F105" s="45"/>
      <c r="G105" s="46"/>
      <c r="H105" s="31"/>
      <c r="J105" s="45"/>
      <c r="K105" s="46"/>
      <c r="L105" s="31"/>
      <c r="N105" s="45"/>
      <c r="O105" s="46"/>
      <c r="P105" s="31"/>
      <c r="R105" s="57">
        <v>46082</v>
      </c>
      <c r="S105" s="61">
        <v>223.86</v>
      </c>
      <c r="T105" s="1"/>
      <c r="V105" s="57">
        <v>46082</v>
      </c>
      <c r="W105" s="61">
        <v>407.05</v>
      </c>
      <c r="X105" s="1"/>
    </row>
    <row r="106" spans="2:24" x14ac:dyDescent="0.25">
      <c r="B106" s="45"/>
      <c r="C106" s="46"/>
      <c r="D106" s="31"/>
      <c r="F106" s="45"/>
      <c r="G106" s="46"/>
      <c r="H106" s="31"/>
      <c r="J106" s="45"/>
      <c r="K106" s="46"/>
      <c r="L106" s="31"/>
      <c r="N106" s="45"/>
      <c r="O106" s="46"/>
      <c r="P106" s="31"/>
      <c r="R106" s="57">
        <v>46113</v>
      </c>
      <c r="S106" s="61">
        <v>223.86</v>
      </c>
      <c r="T106" s="1"/>
      <c r="V106" s="57">
        <v>46113</v>
      </c>
      <c r="W106" s="61">
        <v>407.05</v>
      </c>
      <c r="X106" s="1"/>
    </row>
    <row r="107" spans="2:24" x14ac:dyDescent="0.25">
      <c r="B107" s="31"/>
      <c r="C107" s="34"/>
      <c r="D107" s="31"/>
      <c r="F107" s="31"/>
      <c r="G107" s="34"/>
      <c r="H107" s="31"/>
      <c r="J107" s="31"/>
      <c r="K107" s="34"/>
      <c r="L107" s="31"/>
      <c r="N107" s="31"/>
      <c r="O107" s="34"/>
      <c r="P107" s="31"/>
      <c r="R107" s="57">
        <v>46143</v>
      </c>
      <c r="S107" s="61">
        <v>223.86</v>
      </c>
      <c r="T107" s="1"/>
      <c r="V107" s="57">
        <v>46143</v>
      </c>
      <c r="W107" s="61">
        <v>407.05</v>
      </c>
      <c r="X107" s="1"/>
    </row>
    <row r="108" spans="2:24" x14ac:dyDescent="0.25">
      <c r="B108" s="6"/>
      <c r="C108" s="5"/>
      <c r="D108" s="2"/>
      <c r="F108" s="6"/>
      <c r="G108" s="5"/>
      <c r="H108" s="2"/>
      <c r="J108" s="6"/>
      <c r="K108" s="5"/>
      <c r="L108" s="2"/>
      <c r="N108" s="6"/>
      <c r="O108" s="5"/>
      <c r="P108" s="2"/>
      <c r="R108" s="57">
        <v>46174</v>
      </c>
      <c r="S108" s="61">
        <v>223.86</v>
      </c>
      <c r="T108" s="1"/>
      <c r="V108" s="57">
        <v>46174</v>
      </c>
      <c r="W108" s="61">
        <v>407.05</v>
      </c>
      <c r="X108" s="1"/>
    </row>
    <row r="109" spans="2:24" x14ac:dyDescent="0.25">
      <c r="B109" s="6"/>
      <c r="C109" s="5"/>
      <c r="D109" s="2"/>
      <c r="F109" s="6"/>
      <c r="G109" s="5"/>
      <c r="H109" s="2"/>
      <c r="J109" s="6"/>
      <c r="K109" s="5"/>
      <c r="L109" s="2"/>
      <c r="N109" s="6"/>
      <c r="O109" s="5"/>
      <c r="P109" s="2"/>
      <c r="R109" s="57">
        <v>46204</v>
      </c>
      <c r="S109" s="61">
        <v>223.86</v>
      </c>
      <c r="T109" s="1"/>
      <c r="V109" s="57">
        <v>46204</v>
      </c>
      <c r="W109" s="61">
        <v>407.05</v>
      </c>
      <c r="X109" s="1"/>
    </row>
    <row r="110" spans="2:24" x14ac:dyDescent="0.25">
      <c r="B110" s="6"/>
      <c r="C110" s="5"/>
      <c r="D110" s="2"/>
      <c r="F110" s="6"/>
      <c r="G110" s="5"/>
      <c r="H110" s="2"/>
      <c r="J110" s="6"/>
      <c r="K110" s="5"/>
      <c r="L110" s="2"/>
      <c r="N110" s="6"/>
      <c r="O110" s="5"/>
      <c r="P110" s="2"/>
      <c r="R110" s="57">
        <v>46235</v>
      </c>
      <c r="S110" s="61">
        <v>223.86</v>
      </c>
      <c r="T110" s="1"/>
      <c r="V110" s="57">
        <v>46235</v>
      </c>
      <c r="W110" s="61">
        <v>407.05</v>
      </c>
      <c r="X110" s="1"/>
    </row>
    <row r="111" spans="2:24" x14ac:dyDescent="0.25">
      <c r="B111" s="6"/>
      <c r="C111" s="5"/>
      <c r="D111" s="2"/>
      <c r="F111" s="6"/>
      <c r="G111" s="5"/>
      <c r="H111" s="2"/>
      <c r="J111" s="6"/>
      <c r="K111" s="5"/>
      <c r="L111" s="2"/>
      <c r="N111" s="6"/>
      <c r="O111" s="5"/>
      <c r="P111" s="2"/>
      <c r="R111" s="57">
        <v>46266</v>
      </c>
      <c r="S111" s="61">
        <v>223.86</v>
      </c>
      <c r="T111" s="1"/>
      <c r="V111" s="57">
        <v>46266</v>
      </c>
      <c r="W111" s="61">
        <v>407.05</v>
      </c>
      <c r="X111" s="1"/>
    </row>
    <row r="112" spans="2:24" x14ac:dyDescent="0.25">
      <c r="B112" s="2"/>
      <c r="C112" s="5"/>
      <c r="D112" s="2"/>
      <c r="F112" s="2"/>
      <c r="G112" s="5"/>
      <c r="H112" s="2"/>
      <c r="J112" s="2"/>
      <c r="K112" s="5"/>
      <c r="L112" s="2"/>
      <c r="N112" s="2"/>
      <c r="O112" s="5"/>
      <c r="P112" s="2"/>
      <c r="R112" s="57">
        <v>46296</v>
      </c>
      <c r="S112" s="61">
        <v>223.86</v>
      </c>
      <c r="T112" s="1"/>
      <c r="V112" s="57">
        <v>46296</v>
      </c>
      <c r="W112" s="61">
        <v>407.05</v>
      </c>
      <c r="X112" s="1"/>
    </row>
    <row r="113" spans="2:24" x14ac:dyDescent="0.25">
      <c r="B113" s="2"/>
      <c r="C113" s="5"/>
      <c r="D113" s="2"/>
      <c r="F113" s="2"/>
      <c r="G113" s="5"/>
      <c r="H113" s="2"/>
      <c r="J113" s="2"/>
      <c r="K113" s="5"/>
      <c r="L113" s="2"/>
      <c r="N113" s="2"/>
      <c r="O113" s="5"/>
      <c r="P113" s="2"/>
      <c r="R113" s="57">
        <v>46327</v>
      </c>
      <c r="S113" s="61">
        <v>223.86</v>
      </c>
      <c r="T113" s="1"/>
      <c r="V113" s="57">
        <v>46327</v>
      </c>
      <c r="W113" s="61">
        <v>407.05</v>
      </c>
      <c r="X113" s="1"/>
    </row>
    <row r="114" spans="2:24" x14ac:dyDescent="0.25">
      <c r="B114" s="3"/>
      <c r="C114" s="1"/>
      <c r="D114" s="3"/>
      <c r="F114" s="3"/>
      <c r="G114" s="1"/>
      <c r="H114" s="3"/>
      <c r="J114" s="3"/>
      <c r="K114" s="1"/>
      <c r="L114" s="3"/>
      <c r="N114" s="3"/>
      <c r="O114" s="1"/>
      <c r="P114" s="3"/>
      <c r="R114" s="57">
        <v>46357</v>
      </c>
      <c r="S114" s="61">
        <v>223.86</v>
      </c>
      <c r="T114" s="1"/>
      <c r="V114" s="57">
        <v>46357</v>
      </c>
      <c r="W114" s="61">
        <v>407.05</v>
      </c>
      <c r="X114" s="1"/>
    </row>
    <row r="115" spans="2:24" x14ac:dyDescent="0.25">
      <c r="B115" s="25" t="s">
        <v>29</v>
      </c>
      <c r="C115" s="17">
        <f>SUMIF(D100:D105, FALSE, C100:C105)</f>
        <v>1694</v>
      </c>
      <c r="D115" s="73" t="str">
        <f>IF(C115=0, "PAID", "UNPAID")</f>
        <v>UNPAID</v>
      </c>
      <c r="F115" s="25" t="s">
        <v>29</v>
      </c>
      <c r="G115" s="17">
        <f>SUMIF(H100:H105, FALSE, G100:G105)</f>
        <v>3443</v>
      </c>
      <c r="H115" s="73" t="str">
        <f>IF(G115=0, "PAID", "UNPAID")</f>
        <v>UNPAID</v>
      </c>
      <c r="J115" s="25" t="s">
        <v>29</v>
      </c>
      <c r="K115" s="17">
        <f>SUMIF(L100:L105, FALSE, K100:K105)</f>
        <v>1694</v>
      </c>
      <c r="L115" s="73" t="str">
        <f>IF(K115=0, "PAID", "UNPAID")</f>
        <v>UNPAID</v>
      </c>
      <c r="N115" s="25" t="s">
        <v>29</v>
      </c>
      <c r="O115" s="17">
        <f>SUMIF(P100:P105, FALSE, O100:O105)</f>
        <v>1749</v>
      </c>
      <c r="P115" s="73" t="str">
        <f>IF(O115=0, "PAID", "UNPAID")</f>
        <v>UNPAID</v>
      </c>
      <c r="R115" s="57">
        <v>46388</v>
      </c>
      <c r="S115" s="61">
        <v>223.86</v>
      </c>
      <c r="T115" s="1"/>
      <c r="V115" s="57">
        <v>46388</v>
      </c>
      <c r="W115" s="61">
        <v>407.05</v>
      </c>
      <c r="X115" s="1"/>
    </row>
    <row r="116" spans="2:24" x14ac:dyDescent="0.25">
      <c r="B116" s="26" t="s">
        <v>30</v>
      </c>
      <c r="C116" s="14">
        <f>SUMIF(D100:D105,TRUE,C100:C105)</f>
        <v>0</v>
      </c>
      <c r="D116" s="74"/>
      <c r="F116" s="26" t="s">
        <v>30</v>
      </c>
      <c r="G116" s="14">
        <f>SUMIF(H100:H105,TRUE,G100:G105)</f>
        <v>0</v>
      </c>
      <c r="H116" s="74"/>
      <c r="J116" s="26" t="s">
        <v>30</v>
      </c>
      <c r="K116" s="14">
        <f>SUMIF(L100:L105,TRUE,K100:K105)</f>
        <v>0</v>
      </c>
      <c r="L116" s="74"/>
      <c r="N116" s="26" t="s">
        <v>30</v>
      </c>
      <c r="O116" s="14">
        <f>SUMIF(P100:P105,TRUE,O100:O105)</f>
        <v>0</v>
      </c>
      <c r="P116" s="74"/>
      <c r="R116" s="57">
        <v>46419</v>
      </c>
      <c r="S116" s="61">
        <v>223.86</v>
      </c>
      <c r="T116" s="1"/>
      <c r="V116" s="57">
        <v>46419</v>
      </c>
      <c r="W116" s="61">
        <v>407.05</v>
      </c>
      <c r="X116" s="1"/>
    </row>
    <row r="117" spans="2:24" x14ac:dyDescent="0.25">
      <c r="B117" s="27" t="s">
        <v>31</v>
      </c>
      <c r="C117" s="15">
        <f>SUM(C100:C105)</f>
        <v>1694</v>
      </c>
      <c r="D117" s="75"/>
      <c r="F117" s="27" t="s">
        <v>31</v>
      </c>
      <c r="G117" s="15">
        <f>SUM(G100:G105)</f>
        <v>3443</v>
      </c>
      <c r="H117" s="75"/>
      <c r="J117" s="27" t="s">
        <v>31</v>
      </c>
      <c r="K117" s="15">
        <f>SUM(K100:K105)</f>
        <v>1694</v>
      </c>
      <c r="L117" s="75"/>
      <c r="N117" s="27" t="s">
        <v>31</v>
      </c>
      <c r="O117" s="15">
        <f>SUM(O100:O105)</f>
        <v>1749</v>
      </c>
      <c r="P117" s="75"/>
      <c r="R117" s="57">
        <v>46447</v>
      </c>
      <c r="S117" s="61">
        <v>223.86</v>
      </c>
      <c r="T117" s="1"/>
      <c r="V117" s="57">
        <v>46447</v>
      </c>
      <c r="W117" s="61">
        <v>407.05</v>
      </c>
      <c r="X117" s="1"/>
    </row>
    <row r="118" spans="2:24" x14ac:dyDescent="0.25">
      <c r="R118" s="57">
        <v>46478</v>
      </c>
      <c r="S118" s="61">
        <v>223.86</v>
      </c>
      <c r="T118" s="1"/>
      <c r="V118" s="57">
        <v>46478</v>
      </c>
      <c r="W118" s="61">
        <v>407.05</v>
      </c>
      <c r="X118" s="1"/>
    </row>
    <row r="119" spans="2:24" ht="15.75" thickBot="1" x14ac:dyDescent="0.3">
      <c r="B119" s="66" t="s">
        <v>2</v>
      </c>
      <c r="C119" s="67" t="s">
        <v>1</v>
      </c>
      <c r="D119" s="68" t="s">
        <v>28</v>
      </c>
      <c r="F119" s="66" t="s">
        <v>19</v>
      </c>
      <c r="G119" s="67" t="s">
        <v>1</v>
      </c>
      <c r="H119" s="68" t="s">
        <v>28</v>
      </c>
      <c r="J119" s="50" t="s">
        <v>20</v>
      </c>
      <c r="K119" s="51" t="s">
        <v>1</v>
      </c>
      <c r="L119" s="52" t="s">
        <v>28</v>
      </c>
      <c r="N119" s="50" t="s">
        <v>43</v>
      </c>
      <c r="O119" s="51" t="s">
        <v>1</v>
      </c>
      <c r="P119" s="52" t="s">
        <v>28</v>
      </c>
      <c r="R119" s="57">
        <v>46508</v>
      </c>
      <c r="S119" s="61">
        <v>223.86</v>
      </c>
      <c r="T119" s="1"/>
      <c r="V119" s="57">
        <v>46508</v>
      </c>
      <c r="W119" s="61">
        <v>407.05</v>
      </c>
      <c r="X119" s="1"/>
    </row>
    <row r="120" spans="2:24" x14ac:dyDescent="0.25">
      <c r="B120" s="56">
        <v>45915</v>
      </c>
      <c r="C120" s="55">
        <v>3750</v>
      </c>
      <c r="D120" s="53" t="b">
        <v>1</v>
      </c>
      <c r="F120" s="56">
        <v>46041</v>
      </c>
      <c r="G120" s="58">
        <v>4832.5</v>
      </c>
      <c r="H120" s="53" t="b">
        <v>1</v>
      </c>
      <c r="J120" s="56">
        <v>45930</v>
      </c>
      <c r="K120" s="58">
        <v>3790.83</v>
      </c>
      <c r="L120" s="53" t="b">
        <v>1</v>
      </c>
      <c r="N120" s="56">
        <v>46023</v>
      </c>
      <c r="O120" s="58">
        <v>2416.58</v>
      </c>
      <c r="P120" s="53" t="b">
        <v>1</v>
      </c>
      <c r="R120" s="57">
        <v>46539</v>
      </c>
      <c r="S120" s="61">
        <v>223.86</v>
      </c>
      <c r="T120" s="1"/>
      <c r="V120" s="57">
        <v>46539</v>
      </c>
      <c r="W120" s="61">
        <v>407.05</v>
      </c>
      <c r="X120" s="1"/>
    </row>
    <row r="121" spans="2:24" x14ac:dyDescent="0.25">
      <c r="B121" s="57">
        <v>45945</v>
      </c>
      <c r="C121" s="14">
        <v>3750</v>
      </c>
      <c r="D121" s="54" t="b">
        <v>1</v>
      </c>
      <c r="F121" s="57">
        <v>46072</v>
      </c>
      <c r="G121" s="59">
        <v>4832.5</v>
      </c>
      <c r="H121" s="54" t="b">
        <v>1</v>
      </c>
      <c r="J121" s="57">
        <v>45960</v>
      </c>
      <c r="K121" s="59">
        <v>3790.83</v>
      </c>
      <c r="L121" s="54" t="b">
        <v>1</v>
      </c>
      <c r="N121" s="57">
        <v>46054</v>
      </c>
      <c r="O121" s="59">
        <v>2416.58</v>
      </c>
      <c r="P121" s="54" t="b">
        <v>1</v>
      </c>
      <c r="R121" s="57">
        <v>46569</v>
      </c>
      <c r="S121" s="61">
        <v>223.86</v>
      </c>
      <c r="T121" s="1"/>
      <c r="V121" s="57">
        <v>46569</v>
      </c>
      <c r="W121" s="61">
        <v>407.05</v>
      </c>
      <c r="X121" s="1"/>
    </row>
    <row r="122" spans="2:24" x14ac:dyDescent="0.25">
      <c r="B122" s="57">
        <v>45973</v>
      </c>
      <c r="C122" s="14">
        <v>3750</v>
      </c>
      <c r="D122" s="54" t="b">
        <v>1</v>
      </c>
      <c r="F122" s="57">
        <v>46100</v>
      </c>
      <c r="G122" s="59">
        <v>4832.5</v>
      </c>
      <c r="H122" s="54" t="b">
        <v>1</v>
      </c>
      <c r="J122" s="57">
        <v>45991</v>
      </c>
      <c r="K122" s="59">
        <v>3790.83</v>
      </c>
      <c r="L122" s="54" t="b">
        <v>1</v>
      </c>
      <c r="N122" s="57">
        <v>46080</v>
      </c>
      <c r="O122" s="59">
        <v>2416.58</v>
      </c>
      <c r="P122" s="54" t="b">
        <v>1</v>
      </c>
      <c r="R122" s="57">
        <v>46600</v>
      </c>
      <c r="S122" s="61">
        <v>223.86</v>
      </c>
      <c r="T122" s="1"/>
      <c r="V122" s="57">
        <v>46600</v>
      </c>
      <c r="W122" s="61">
        <v>407.05</v>
      </c>
      <c r="X122" s="1"/>
    </row>
    <row r="123" spans="2:24" x14ac:dyDescent="0.25">
      <c r="B123" s="57">
        <v>46006</v>
      </c>
      <c r="C123" s="14">
        <v>3750</v>
      </c>
      <c r="D123" s="54" t="b">
        <v>1</v>
      </c>
      <c r="F123" s="57">
        <v>46131</v>
      </c>
      <c r="G123" s="59">
        <v>4832.5</v>
      </c>
      <c r="H123" s="54" t="b">
        <v>0</v>
      </c>
      <c r="J123" s="57">
        <v>45992</v>
      </c>
      <c r="K123" s="59">
        <v>3790.83</v>
      </c>
      <c r="L123" s="54" t="b">
        <v>1</v>
      </c>
      <c r="N123" s="57">
        <v>46113</v>
      </c>
      <c r="O123" s="59">
        <v>2416.58</v>
      </c>
      <c r="P123" s="54" t="b">
        <v>0</v>
      </c>
      <c r="R123" s="62">
        <v>46631</v>
      </c>
      <c r="S123" s="61">
        <v>223.86</v>
      </c>
      <c r="T123" s="9"/>
      <c r="V123" s="62">
        <v>46631</v>
      </c>
      <c r="W123" s="61">
        <v>407.05</v>
      </c>
      <c r="X123" s="9"/>
    </row>
    <row r="124" spans="2:24" x14ac:dyDescent="0.25">
      <c r="B124" s="57">
        <v>46037</v>
      </c>
      <c r="C124" s="14">
        <v>3750</v>
      </c>
      <c r="D124" s="54" t="b">
        <v>1</v>
      </c>
      <c r="F124" s="57">
        <v>46161</v>
      </c>
      <c r="G124" s="59">
        <v>4832.5</v>
      </c>
      <c r="H124" s="54" t="b">
        <v>0</v>
      </c>
      <c r="J124" s="57">
        <v>45992</v>
      </c>
      <c r="K124" s="59">
        <v>3790.83</v>
      </c>
      <c r="L124" s="54" t="b">
        <v>1</v>
      </c>
      <c r="N124" s="57">
        <v>46143</v>
      </c>
      <c r="O124" s="59">
        <v>2416.58</v>
      </c>
      <c r="P124" s="54" t="b">
        <v>0</v>
      </c>
      <c r="R124" s="12" t="s">
        <v>29</v>
      </c>
      <c r="S124" s="17">
        <f>SUMIF(T100:T123, "", S100:S123)</f>
        <v>4477.2000000000016</v>
      </c>
      <c r="T124" s="76" t="str">
        <f>IF(S124=0, "PAID", "UNPAID")</f>
        <v>UNPAID</v>
      </c>
      <c r="V124" s="12" t="s">
        <v>29</v>
      </c>
      <c r="W124" s="17">
        <f>SUMIF(X100:X123, "", W100:W123)</f>
        <v>8141.0000000000027</v>
      </c>
      <c r="X124" s="76" t="str">
        <f>IF(W124=0, "PAID", "UNPAID")</f>
        <v>UNPAID</v>
      </c>
    </row>
    <row r="125" spans="2:24" x14ac:dyDescent="0.25">
      <c r="B125" s="57">
        <v>46066</v>
      </c>
      <c r="C125" s="14">
        <v>3750</v>
      </c>
      <c r="D125" s="54" t="b">
        <v>1</v>
      </c>
      <c r="F125" s="57">
        <v>46192</v>
      </c>
      <c r="G125" s="59">
        <v>4832.5</v>
      </c>
      <c r="H125" s="54" t="b">
        <v>0</v>
      </c>
      <c r="J125" s="57">
        <v>45992</v>
      </c>
      <c r="K125" s="59">
        <v>3790.83</v>
      </c>
      <c r="L125" s="54" t="b">
        <v>1</v>
      </c>
      <c r="N125" s="57">
        <v>46174</v>
      </c>
      <c r="O125" s="59">
        <v>2416.58</v>
      </c>
      <c r="P125" s="54" t="b">
        <v>0</v>
      </c>
      <c r="R125" s="10" t="s">
        <v>30</v>
      </c>
      <c r="S125" s="14">
        <f>SUM(T100:T123)</f>
        <v>997.72</v>
      </c>
      <c r="T125" s="77"/>
      <c r="V125" s="10" t="s">
        <v>30</v>
      </c>
      <c r="W125" s="14">
        <f>SUM(X100:X123)</f>
        <v>1914.1</v>
      </c>
      <c r="X125" s="77"/>
    </row>
    <row r="126" spans="2:24" x14ac:dyDescent="0.25">
      <c r="B126" s="57">
        <v>46095</v>
      </c>
      <c r="C126" s="14">
        <v>3750</v>
      </c>
      <c r="D126" s="54" t="b">
        <v>1</v>
      </c>
      <c r="F126" s="57">
        <v>46222</v>
      </c>
      <c r="G126" s="59">
        <v>4832.5</v>
      </c>
      <c r="H126" s="54" t="b">
        <v>0</v>
      </c>
      <c r="J126" s="57">
        <v>45992</v>
      </c>
      <c r="K126" s="59">
        <v>3790.83</v>
      </c>
      <c r="L126" s="54" t="b">
        <v>1</v>
      </c>
      <c r="N126" s="57">
        <v>46204</v>
      </c>
      <c r="O126" s="59">
        <v>2416.58</v>
      </c>
      <c r="P126" s="54" t="b">
        <v>0</v>
      </c>
      <c r="R126" s="11" t="s">
        <v>31</v>
      </c>
      <c r="S126" s="15">
        <f>SUM(S100:S123)</f>
        <v>5372.64</v>
      </c>
      <c r="T126" s="78"/>
      <c r="V126" s="11" t="s">
        <v>31</v>
      </c>
      <c r="W126" s="15">
        <f>SUM(W100:W123)</f>
        <v>9769.2000000000007</v>
      </c>
      <c r="X126" s="78"/>
    </row>
    <row r="127" spans="2:24" x14ac:dyDescent="0.25">
      <c r="B127" s="57">
        <v>46127</v>
      </c>
      <c r="C127" s="14">
        <v>3750</v>
      </c>
      <c r="D127" s="54" t="b">
        <v>0</v>
      </c>
      <c r="F127" s="57">
        <v>46253</v>
      </c>
      <c r="G127" s="59">
        <v>4832.5</v>
      </c>
      <c r="H127" s="54" t="b">
        <v>0</v>
      </c>
      <c r="J127" s="57">
        <v>46142</v>
      </c>
      <c r="K127" s="59">
        <v>3790.83</v>
      </c>
      <c r="L127" s="54" t="b">
        <v>0</v>
      </c>
      <c r="N127" s="57">
        <v>46235</v>
      </c>
      <c r="O127" s="59">
        <v>2416.58</v>
      </c>
      <c r="P127" s="54" t="b">
        <v>0</v>
      </c>
    </row>
    <row r="128" spans="2:24" x14ac:dyDescent="0.25">
      <c r="B128" s="57">
        <v>46157</v>
      </c>
      <c r="C128" s="14">
        <v>3750</v>
      </c>
      <c r="D128" s="54" t="b">
        <v>0</v>
      </c>
      <c r="F128" s="57">
        <v>46284</v>
      </c>
      <c r="G128" s="59">
        <v>4832.5</v>
      </c>
      <c r="H128" s="54" t="b">
        <v>0</v>
      </c>
      <c r="J128" s="57">
        <v>46172</v>
      </c>
      <c r="K128" s="59">
        <v>3790.83</v>
      </c>
      <c r="L128" s="54" t="b">
        <v>0</v>
      </c>
      <c r="N128" s="57">
        <v>46266</v>
      </c>
      <c r="O128" s="59">
        <v>2416.58</v>
      </c>
      <c r="P128" s="54" t="b">
        <v>0</v>
      </c>
      <c r="R128" s="69">
        <f>SUM(C37, G37, K37, O37, S37, W37, C57, G57, K57, O57, S57, W57, C77, G77, K77, O77, S77, W77)</f>
        <v>227454</v>
      </c>
      <c r="S128" s="71" t="s">
        <v>35</v>
      </c>
    </row>
    <row r="129" spans="2:19" x14ac:dyDescent="0.25">
      <c r="B129" s="57">
        <v>46188</v>
      </c>
      <c r="C129" s="14">
        <v>3750</v>
      </c>
      <c r="D129" s="54" t="b">
        <v>0</v>
      </c>
      <c r="F129" s="57">
        <v>46314</v>
      </c>
      <c r="G129" s="59">
        <v>4832.5</v>
      </c>
      <c r="H129" s="54" t="b">
        <v>0</v>
      </c>
      <c r="J129" s="57">
        <v>46192</v>
      </c>
      <c r="K129" s="59">
        <v>3790.83</v>
      </c>
      <c r="L129" s="54" t="b">
        <v>0</v>
      </c>
      <c r="N129" s="57">
        <v>46296</v>
      </c>
      <c r="O129" s="59">
        <v>2416.58</v>
      </c>
      <c r="P129" s="54" t="b">
        <v>0</v>
      </c>
      <c r="R129" s="69">
        <f>SUM(C36, G36, K36, O36, S36, W36, C56, G56, K56, O56, S56, W56, C76, G76, K76, O76, S76, W76)</f>
        <v>115183</v>
      </c>
      <c r="S129" s="71" t="s">
        <v>36</v>
      </c>
    </row>
    <row r="130" spans="2:19" x14ac:dyDescent="0.25">
      <c r="B130" s="57">
        <v>46218</v>
      </c>
      <c r="C130" s="14">
        <v>3750</v>
      </c>
      <c r="D130" s="54" t="b">
        <v>0</v>
      </c>
      <c r="F130" s="57">
        <v>46345</v>
      </c>
      <c r="G130" s="59">
        <v>4832.5</v>
      </c>
      <c r="H130" s="54" t="b">
        <v>0</v>
      </c>
      <c r="J130" s="57">
        <v>46222</v>
      </c>
      <c r="K130" s="59">
        <v>3790.83</v>
      </c>
      <c r="L130" s="54" t="b">
        <v>0</v>
      </c>
      <c r="N130" s="57">
        <v>46327</v>
      </c>
      <c r="O130" s="59">
        <v>2416.58</v>
      </c>
      <c r="P130" s="54" t="b">
        <v>0</v>
      </c>
      <c r="R130" s="69">
        <f>R128-R129</f>
        <v>112271</v>
      </c>
      <c r="S130" s="71" t="s">
        <v>33</v>
      </c>
    </row>
    <row r="131" spans="2:19" x14ac:dyDescent="0.25">
      <c r="B131" s="57">
        <v>46249</v>
      </c>
      <c r="C131" s="14">
        <v>3750</v>
      </c>
      <c r="D131" s="54" t="b">
        <v>0</v>
      </c>
      <c r="F131" s="57">
        <v>46375</v>
      </c>
      <c r="G131" s="59">
        <v>4832.5</v>
      </c>
      <c r="H131" s="54" t="b">
        <v>0</v>
      </c>
      <c r="J131" s="57">
        <v>46253</v>
      </c>
      <c r="K131" s="59">
        <v>3790.83</v>
      </c>
      <c r="L131" s="54" t="b">
        <v>0</v>
      </c>
      <c r="N131" s="57">
        <v>46357</v>
      </c>
      <c r="O131" s="59">
        <v>2416.58</v>
      </c>
      <c r="P131" s="54" t="b">
        <v>0</v>
      </c>
      <c r="R131" s="70">
        <f>SUM(R129/R128)</f>
        <v>0.50640129432764425</v>
      </c>
      <c r="S131" s="71" t="s">
        <v>37</v>
      </c>
    </row>
    <row r="132" spans="2:19" x14ac:dyDescent="0.25">
      <c r="B132" s="12" t="s">
        <v>29</v>
      </c>
      <c r="C132" s="17">
        <f>SUMIF(D120:D131, FALSE,C120:C131)</f>
        <v>18750</v>
      </c>
      <c r="D132" s="76" t="str">
        <f>IF(C132=0, "PAID", "UNPAID")</f>
        <v>UNPAID</v>
      </c>
      <c r="F132" s="12" t="s">
        <v>29</v>
      </c>
      <c r="G132" s="17">
        <f>SUMIF(H120:H131, FALSE,G120:G131)</f>
        <v>43492.5</v>
      </c>
      <c r="H132" s="76" t="str">
        <f>IF(G132=0, "PAID", "UNPAID")</f>
        <v>UNPAID</v>
      </c>
      <c r="J132" s="12" t="s">
        <v>29</v>
      </c>
      <c r="K132" s="17">
        <f>SUMIF(L120:L131, FALSE,K120:K131)</f>
        <v>18954.150000000001</v>
      </c>
      <c r="L132" s="76" t="str">
        <f>IF(K132=0, "PAID", "UNPAID")</f>
        <v>UNPAID</v>
      </c>
      <c r="N132" s="12" t="s">
        <v>29</v>
      </c>
      <c r="O132" s="17">
        <f>SUMIF(P120:P131, FALSE,O120:O131)</f>
        <v>21749.22</v>
      </c>
      <c r="P132" s="76" t="str">
        <f>IF(O132=0, "PAID", "UNPAID")</f>
        <v>UNPAID</v>
      </c>
    </row>
    <row r="133" spans="2:19" x14ac:dyDescent="0.25">
      <c r="B133" s="10" t="s">
        <v>30</v>
      </c>
      <c r="C133" s="14">
        <f>SUMIF(D120:D131,TRUE,C120:C131)</f>
        <v>26250</v>
      </c>
      <c r="D133" s="77"/>
      <c r="F133" s="10" t="s">
        <v>30</v>
      </c>
      <c r="G133" s="14">
        <f>SUMIF(H120:H131,TRUE,G120:G131)</f>
        <v>14497.5</v>
      </c>
      <c r="H133" s="77"/>
      <c r="J133" s="10" t="s">
        <v>30</v>
      </c>
      <c r="K133" s="14">
        <f>SUMIF(L120:L131,TRUE,K120:K131)</f>
        <v>26535.810000000005</v>
      </c>
      <c r="L133" s="77"/>
      <c r="N133" s="10" t="s">
        <v>30</v>
      </c>
      <c r="O133" s="14">
        <f>SUMIF(P120:P131,TRUE,O120:O131)</f>
        <v>7249.74</v>
      </c>
      <c r="P133" s="77"/>
    </row>
    <row r="134" spans="2:19" x14ac:dyDescent="0.25">
      <c r="B134" s="11" t="s">
        <v>31</v>
      </c>
      <c r="C134" s="15">
        <f>SUM(C120:C131)</f>
        <v>45000</v>
      </c>
      <c r="D134" s="78"/>
      <c r="F134" s="11" t="s">
        <v>31</v>
      </c>
      <c r="G134" s="15">
        <f>SUM(G120:G131)</f>
        <v>57990</v>
      </c>
      <c r="H134" s="78"/>
      <c r="J134" s="11" t="s">
        <v>31</v>
      </c>
      <c r="K134" s="15">
        <f>SUM(K120:K131)</f>
        <v>45489.960000000014</v>
      </c>
      <c r="L134" s="78"/>
      <c r="N134" s="11" t="s">
        <v>31</v>
      </c>
      <c r="O134" s="15">
        <f>SUM(O120:O131)</f>
        <v>28998.960000000006</v>
      </c>
      <c r="P134" s="78"/>
    </row>
  </sheetData>
  <mergeCells count="37">
    <mergeCell ref="D132:D134"/>
    <mergeCell ref="H132:H134"/>
    <mergeCell ref="L132:L134"/>
    <mergeCell ref="P132:P134"/>
    <mergeCell ref="T124:T126"/>
    <mergeCell ref="X124:X126"/>
    <mergeCell ref="D95:D97"/>
    <mergeCell ref="H95:H97"/>
    <mergeCell ref="L95:L97"/>
    <mergeCell ref="P95:P97"/>
    <mergeCell ref="T95:T97"/>
    <mergeCell ref="X95:X97"/>
    <mergeCell ref="D115:D117"/>
    <mergeCell ref="H115:H117"/>
    <mergeCell ref="L115:L117"/>
    <mergeCell ref="P115:P117"/>
    <mergeCell ref="A1:S2"/>
    <mergeCell ref="T1:X2"/>
    <mergeCell ref="Y1:Y2"/>
    <mergeCell ref="D35:D37"/>
    <mergeCell ref="H35:H37"/>
    <mergeCell ref="L35:L37"/>
    <mergeCell ref="P35:P37"/>
    <mergeCell ref="T35:T37"/>
    <mergeCell ref="X35:X37"/>
    <mergeCell ref="X55:X57"/>
    <mergeCell ref="D75:D77"/>
    <mergeCell ref="H75:H77"/>
    <mergeCell ref="L75:L77"/>
    <mergeCell ref="P75:P77"/>
    <mergeCell ref="T75:T77"/>
    <mergeCell ref="X75:X77"/>
    <mergeCell ref="D55:D57"/>
    <mergeCell ref="H55:H57"/>
    <mergeCell ref="L55:L57"/>
    <mergeCell ref="P55:P57"/>
    <mergeCell ref="T55:T57"/>
  </mergeCells>
  <phoneticPr fontId="2" type="noConversion"/>
  <conditionalFormatting sqref="B57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{279E8086-0CE5-4575-92BF-7A117E4A48B5}</x14:id>
        </ext>
      </extLst>
    </cfRule>
  </conditionalFormatting>
  <conditionalFormatting sqref="B77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{0DF3B042-28BE-4D7B-9DAA-C4602EB87167}</x14:id>
        </ext>
      </extLst>
    </cfRule>
  </conditionalFormatting>
  <conditionalFormatting sqref="B9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{8B060B5B-6116-47DF-9E16-9835B75D7586}</x14:id>
        </ext>
      </extLst>
    </cfRule>
  </conditionalFormatting>
  <conditionalFormatting sqref="B117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{2FB6B720-63D6-4F3A-A0DD-4768BCAEC8C2}</x14:id>
        </ext>
      </extLst>
    </cfRule>
  </conditionalFormatting>
  <conditionalFormatting sqref="B134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{14DECFDE-767C-455A-9F59-66BD01544FEA}</x14:id>
        </ext>
      </extLst>
    </cfRule>
  </conditionalFormatting>
  <conditionalFormatting sqref="B35:C37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{ABAD67BD-F2B9-4FB4-858F-5BAC5E22E24B}</x14:id>
        </ext>
      </extLst>
    </cfRule>
  </conditionalFormatting>
  <conditionalFormatting sqref="B95:C97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{A9DEF777-13AB-41C0-83B5-33A52ACBD59B}</x14:id>
        </ext>
      </extLst>
    </cfRule>
  </conditionalFormatting>
  <conditionalFormatting sqref="B115:C117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{B8C34094-5498-4840-9466-7DA90DE67DAB}</x14:id>
        </ext>
      </extLst>
    </cfRule>
  </conditionalFormatting>
  <conditionalFormatting sqref="C55:C57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{83B22D06-A17D-48A6-88D1-92F51979B83A}</x14:id>
        </ext>
      </extLst>
    </cfRule>
  </conditionalFormatting>
  <conditionalFormatting sqref="C132:D132 C133:C134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{22BB450B-165A-4447-AEAC-2E529EEABACB}</x14:id>
        </ext>
      </extLst>
    </cfRule>
  </conditionalFormatting>
  <conditionalFormatting sqref="C75:W75 C76:C77 E76:G77 I76:K77 M76:O77 Q76:S77 U76:W77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{897AE107-38C9-44AD-95B7-B7ED8806A0E7}</x14:id>
        </ext>
      </extLst>
    </cfRule>
  </conditionalFormatting>
  <conditionalFormatting sqref="F57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{58C19CDC-4B11-4C63-86CC-4E4F3B03E3D9}</x14:id>
        </ext>
      </extLst>
    </cfRule>
  </conditionalFormatting>
  <conditionalFormatting sqref="F77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{0A0C087A-2148-4356-A79B-CD13D1DCEBE3}</x14:id>
        </ext>
      </extLst>
    </cfRule>
  </conditionalFormatting>
  <conditionalFormatting sqref="F97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{0558854A-1AB0-4E60-B8F5-E11EBF4CBC8F}</x14:id>
        </ext>
      </extLst>
    </cfRule>
  </conditionalFormatting>
  <conditionalFormatting sqref="F11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{AEECF817-A962-4981-ACE8-9779F87D2327}</x14:id>
        </ext>
      </extLst>
    </cfRule>
  </conditionalFormatting>
  <conditionalFormatting sqref="F134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{41A6B172-5E2D-4C79-8679-6B080788AD3D}</x14:id>
        </ext>
      </extLst>
    </cfRule>
  </conditionalFormatting>
  <conditionalFormatting sqref="F95:G97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{7C934738-7611-4CF1-8081-951D29A936EC}</x14:id>
        </ext>
      </extLst>
    </cfRule>
  </conditionalFormatting>
  <conditionalFormatting sqref="F115:G11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{49ACF521-6EA8-48D0-B8EF-ADFFB09AF27E}</x14:id>
        </ext>
      </extLst>
    </cfRule>
  </conditionalFormatting>
  <conditionalFormatting sqref="G35:G37"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{E5E12D94-9C6B-49D7-8117-065849742BF3}</x14:id>
        </ext>
      </extLst>
    </cfRule>
  </conditionalFormatting>
  <conditionalFormatting sqref="G132:H132 G133:G13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{C3738443-922C-467F-8EFB-36968E2BACC9}</x14:id>
        </ext>
      </extLst>
    </cfRule>
  </conditionalFormatting>
  <conditionalFormatting sqref="G55:W55 G56:G57 I56:K57 M56:O57 Q56:S57 U56:W57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{FB802EF6-29D3-4294-AE8E-726711E40677}</x14:id>
        </ext>
      </extLst>
    </cfRule>
  </conditionalFormatting>
  <conditionalFormatting sqref="J57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{915A2120-F38F-4130-AA02-46407F4E0005}</x14:id>
        </ext>
      </extLst>
    </cfRule>
  </conditionalFormatting>
  <conditionalFormatting sqref="J77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{A811C873-F84B-4182-8F57-6596C7F175CA}</x14:id>
        </ext>
      </extLst>
    </cfRule>
  </conditionalFormatting>
  <conditionalFormatting sqref="J97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{878C166B-7A4B-468C-BE01-89FC57E5DAF7}</x14:id>
        </ext>
      </extLst>
    </cfRule>
  </conditionalFormatting>
  <conditionalFormatting sqref="J117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{BC19E2F9-0481-4527-BBA8-E34B59FEE3A6}</x14:id>
        </ext>
      </extLst>
    </cfRule>
  </conditionalFormatting>
  <conditionalFormatting sqref="J13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{64F68170-E391-46BD-BDF0-6A6451EB85AE}</x14:id>
        </ext>
      </extLst>
    </cfRule>
  </conditionalFormatting>
  <conditionalFormatting sqref="J35:K37"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{CCB7BE6D-AC33-4C6E-9135-00CF44CD937A}</x14:id>
        </ext>
      </extLst>
    </cfRule>
  </conditionalFormatting>
  <conditionalFormatting sqref="J95:K97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{B2534FA8-43B1-44CD-B43F-FBEEAF3A847A}</x14:id>
        </ext>
      </extLst>
    </cfRule>
  </conditionalFormatting>
  <conditionalFormatting sqref="J115:K11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{66676DE6-8E2C-4673-8DB1-1351C8FC258F}</x14:id>
        </ext>
      </extLst>
    </cfRule>
  </conditionalFormatting>
  <conditionalFormatting sqref="K132:L132 K133:K13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{DB1574FA-12D6-41D7-AC4A-FE3EB4D72570}</x14:id>
        </ext>
      </extLst>
    </cfRule>
  </conditionalFormatting>
  <conditionalFormatting sqref="N57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{FCDF9469-4317-4142-AB54-23DD29F0B84D}</x14:id>
        </ext>
      </extLst>
    </cfRule>
  </conditionalFormatting>
  <conditionalFormatting sqref="N77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{1776D6E6-FC34-42CB-B670-B0AC08575157}</x14:id>
        </ext>
      </extLst>
    </cfRule>
  </conditionalFormatting>
  <conditionalFormatting sqref="N9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{7AA94A80-4E27-4FF0-A13A-26E1D0B05E16}</x14:id>
        </ext>
      </extLst>
    </cfRule>
  </conditionalFormatting>
  <conditionalFormatting sqref="N11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{9CB6D187-4B39-455A-9AB3-8B19BB719B79}</x14:id>
        </ext>
      </extLst>
    </cfRule>
  </conditionalFormatting>
  <conditionalFormatting sqref="N134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{896D20F1-8C47-4A2A-B83F-F455FF9D523E}</x14:id>
        </ext>
      </extLst>
    </cfRule>
  </conditionalFormatting>
  <conditionalFormatting sqref="N95:O97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{3CEE9841-D997-43C0-AD7D-7D0ACECFC5B1}</x14:id>
        </ext>
      </extLst>
    </cfRule>
  </conditionalFormatting>
  <conditionalFormatting sqref="N115:O11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{09D37FAB-5EE3-4C47-8A4F-AED2BCE82D76}</x14:id>
        </ext>
      </extLst>
    </cfRule>
  </conditionalFormatting>
  <conditionalFormatting sqref="O35"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{229A7D26-655B-4163-BF7C-1D752F03C3CB}</x14:id>
        </ext>
      </extLst>
    </cfRule>
  </conditionalFormatting>
  <conditionalFormatting sqref="O35:O37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{5B8247B3-2FE1-4EF9-93C0-912323A54410}</x14:id>
        </ext>
      </extLst>
    </cfRule>
  </conditionalFormatting>
  <conditionalFormatting sqref="O132:P132 O133:O134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{DB9A04DB-E610-4689-AD06-988F586B1CEA}</x14:id>
        </ext>
      </extLst>
    </cfRule>
  </conditionalFormatting>
  <conditionalFormatting sqref="R57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{57B85972-8CAB-4279-9962-BF35043C54A4}</x14:id>
        </ext>
      </extLst>
    </cfRule>
  </conditionalFormatting>
  <conditionalFormatting sqref="R77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{E868C0BA-DFD2-479D-850F-C279148BF4A9}</x14:id>
        </ext>
      </extLst>
    </cfRule>
  </conditionalFormatting>
  <conditionalFormatting sqref="R97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{AAE269D4-5B1C-45F8-911B-5A03BB5A28ED}</x14:id>
        </ext>
      </extLst>
    </cfRule>
  </conditionalFormatting>
  <conditionalFormatting sqref="R126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{22EF0D8B-4DAA-443F-83FB-47E6518E0481}</x14:id>
        </ext>
      </extLst>
    </cfRule>
  </conditionalFormatting>
  <conditionalFormatting sqref="R95:S97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{43C83C6B-7061-4F3C-B467-967ED1DB46F4}</x14:id>
        </ext>
      </extLst>
    </cfRule>
  </conditionalFormatting>
  <conditionalFormatting sqref="S35:S37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{6A68CAED-9EDF-4BF5-9614-1818753BA645}</x14:id>
        </ext>
      </extLst>
    </cfRule>
  </conditionalFormatting>
  <conditionalFormatting sqref="S124:T124 S125:S126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{98375BEC-DE12-4DF6-B95D-ECE11AE77714}</x14:id>
        </ext>
      </extLst>
    </cfRule>
  </conditionalFormatting>
  <conditionalFormatting sqref="V57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{443E7BE4-9D4A-4DAB-8C22-86A58F0AD706}</x14:id>
        </ext>
      </extLst>
    </cfRule>
  </conditionalFormatting>
  <conditionalFormatting sqref="V77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{11BD558B-F8E6-4EDA-8528-7E33B7A40496}</x14:id>
        </ext>
      </extLst>
    </cfRule>
  </conditionalFormatting>
  <conditionalFormatting sqref="V9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{DEBA6D35-0C21-4D52-AC9F-A73E4377B943}</x14:id>
        </ext>
      </extLst>
    </cfRule>
  </conditionalFormatting>
  <conditionalFormatting sqref="V126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{9B224DC0-1330-4766-B1D7-C71E42BE10FA}</x14:id>
        </ext>
      </extLst>
    </cfRule>
  </conditionalFormatting>
  <conditionalFormatting sqref="V95:W97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{D6342681-48C3-44EA-B66C-DA37C2EB0616}</x14:id>
        </ext>
      </extLst>
    </cfRule>
  </conditionalFormatting>
  <conditionalFormatting sqref="W35:W37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{9898C510-543C-4B3C-81A4-6CF4921F094E}</x14:id>
        </ext>
      </extLst>
    </cfRule>
  </conditionalFormatting>
  <conditionalFormatting sqref="W124:X124 W125:W126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{47C4CE67-FC80-47B3-8845-6DD80C3DE7F0}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9E8086-0CE5-4575-92BF-7A117E4A48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B57</xm:sqref>
        </x14:conditionalFormatting>
        <x14:conditionalFormatting xmlns:xm="http://schemas.microsoft.com/office/excel/2006/main">
          <x14:cfRule type="dataBar" id="{0DF3B042-28BE-4D7B-9DAA-C4602EB871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B77</xm:sqref>
        </x14:conditionalFormatting>
        <x14:conditionalFormatting xmlns:xm="http://schemas.microsoft.com/office/excel/2006/main">
          <x14:cfRule type="dataBar" id="{8B060B5B-6116-47DF-9E16-9835B75D75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B97</xm:sqref>
        </x14:conditionalFormatting>
        <x14:conditionalFormatting xmlns:xm="http://schemas.microsoft.com/office/excel/2006/main">
          <x14:cfRule type="dataBar" id="{2FB6B720-63D6-4F3A-A0DD-4768BCAEC8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B117</xm:sqref>
        </x14:conditionalFormatting>
        <x14:conditionalFormatting xmlns:xm="http://schemas.microsoft.com/office/excel/2006/main">
          <x14:cfRule type="dataBar" id="{14DECFDE-767C-455A-9F59-66BD01544F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B134</xm:sqref>
        </x14:conditionalFormatting>
        <x14:conditionalFormatting xmlns:xm="http://schemas.microsoft.com/office/excel/2006/main">
          <x14:cfRule type="dataBar" id="{ABAD67BD-F2B9-4FB4-858F-5BAC5E22E2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B35:C37</xm:sqref>
        </x14:conditionalFormatting>
        <x14:conditionalFormatting xmlns:xm="http://schemas.microsoft.com/office/excel/2006/main">
          <x14:cfRule type="dataBar" id="{A9DEF777-13AB-41C0-83B5-33A52ACBD5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B95:C97</xm:sqref>
        </x14:conditionalFormatting>
        <x14:conditionalFormatting xmlns:xm="http://schemas.microsoft.com/office/excel/2006/main">
          <x14:cfRule type="dataBar" id="{B8C34094-5498-4840-9466-7DA90DE67D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B115:C117</xm:sqref>
        </x14:conditionalFormatting>
        <x14:conditionalFormatting xmlns:xm="http://schemas.microsoft.com/office/excel/2006/main">
          <x14:cfRule type="dataBar" id="{83B22D06-A17D-48A6-88D1-92F51979B8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C55:C57</xm:sqref>
        </x14:conditionalFormatting>
        <x14:conditionalFormatting xmlns:xm="http://schemas.microsoft.com/office/excel/2006/main">
          <x14:cfRule type="dataBar" id="{22BB450B-165A-4447-AEAC-2E529EEABA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C132:D132 C133:C134</xm:sqref>
        </x14:conditionalFormatting>
        <x14:conditionalFormatting xmlns:xm="http://schemas.microsoft.com/office/excel/2006/main">
          <x14:cfRule type="dataBar" id="{897AE107-38C9-44AD-95B7-B7ED8806A0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C75:W75 C76:C77 E76:G77 I76:K77 M76:O77 Q76:S77 U76:W77</xm:sqref>
        </x14:conditionalFormatting>
        <x14:conditionalFormatting xmlns:xm="http://schemas.microsoft.com/office/excel/2006/main">
          <x14:cfRule type="dataBar" id="{58C19CDC-4B11-4C63-86CC-4E4F3B03E3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F57</xm:sqref>
        </x14:conditionalFormatting>
        <x14:conditionalFormatting xmlns:xm="http://schemas.microsoft.com/office/excel/2006/main">
          <x14:cfRule type="dataBar" id="{0A0C087A-2148-4356-A79B-CD13D1DCEB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F77</xm:sqref>
        </x14:conditionalFormatting>
        <x14:conditionalFormatting xmlns:xm="http://schemas.microsoft.com/office/excel/2006/main">
          <x14:cfRule type="dataBar" id="{0558854A-1AB0-4E60-B8F5-E11EBF4CBC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F97</xm:sqref>
        </x14:conditionalFormatting>
        <x14:conditionalFormatting xmlns:xm="http://schemas.microsoft.com/office/excel/2006/main">
          <x14:cfRule type="dataBar" id="{AEECF817-A962-4981-ACE8-9779F87D23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F117</xm:sqref>
        </x14:conditionalFormatting>
        <x14:conditionalFormatting xmlns:xm="http://schemas.microsoft.com/office/excel/2006/main">
          <x14:cfRule type="dataBar" id="{41A6B172-5E2D-4C79-8679-6B080788AD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F134</xm:sqref>
        </x14:conditionalFormatting>
        <x14:conditionalFormatting xmlns:xm="http://schemas.microsoft.com/office/excel/2006/main">
          <x14:cfRule type="dataBar" id="{7C934738-7611-4CF1-8081-951D29A936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F95:G97</xm:sqref>
        </x14:conditionalFormatting>
        <x14:conditionalFormatting xmlns:xm="http://schemas.microsoft.com/office/excel/2006/main">
          <x14:cfRule type="dataBar" id="{49ACF521-6EA8-48D0-B8EF-ADFFB09AF2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F115:G117</xm:sqref>
        </x14:conditionalFormatting>
        <x14:conditionalFormatting xmlns:xm="http://schemas.microsoft.com/office/excel/2006/main">
          <x14:cfRule type="dataBar" id="{E5E12D94-9C6B-49D7-8117-065849742B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G35:G37</xm:sqref>
        </x14:conditionalFormatting>
        <x14:conditionalFormatting xmlns:xm="http://schemas.microsoft.com/office/excel/2006/main">
          <x14:cfRule type="dataBar" id="{C3738443-922C-467F-8EFB-36968E2BAC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G132:H132 G133:G134</xm:sqref>
        </x14:conditionalFormatting>
        <x14:conditionalFormatting xmlns:xm="http://schemas.microsoft.com/office/excel/2006/main">
          <x14:cfRule type="dataBar" id="{FB802EF6-29D3-4294-AE8E-726711E406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G55:W55 G56:G57 I56:K57 M56:O57 Q56:S57 U56:W57</xm:sqref>
        </x14:conditionalFormatting>
        <x14:conditionalFormatting xmlns:xm="http://schemas.microsoft.com/office/excel/2006/main">
          <x14:cfRule type="dataBar" id="{915A2120-F38F-4130-AA02-46407F4E00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J57</xm:sqref>
        </x14:conditionalFormatting>
        <x14:conditionalFormatting xmlns:xm="http://schemas.microsoft.com/office/excel/2006/main">
          <x14:cfRule type="dataBar" id="{A811C873-F84B-4182-8F57-6596C7F175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J77</xm:sqref>
        </x14:conditionalFormatting>
        <x14:conditionalFormatting xmlns:xm="http://schemas.microsoft.com/office/excel/2006/main">
          <x14:cfRule type="dataBar" id="{878C166B-7A4B-468C-BE01-89FC57E5DA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J97</xm:sqref>
        </x14:conditionalFormatting>
        <x14:conditionalFormatting xmlns:xm="http://schemas.microsoft.com/office/excel/2006/main">
          <x14:cfRule type="dataBar" id="{BC19E2F9-0481-4527-BBA8-E34B59FEE3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J117</xm:sqref>
        </x14:conditionalFormatting>
        <x14:conditionalFormatting xmlns:xm="http://schemas.microsoft.com/office/excel/2006/main">
          <x14:cfRule type="dataBar" id="{64F68170-E391-46BD-BDF0-6A6451EB85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J134</xm:sqref>
        </x14:conditionalFormatting>
        <x14:conditionalFormatting xmlns:xm="http://schemas.microsoft.com/office/excel/2006/main">
          <x14:cfRule type="dataBar" id="{CCB7BE6D-AC33-4C6E-9135-00CF44CD93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J35:K37</xm:sqref>
        </x14:conditionalFormatting>
        <x14:conditionalFormatting xmlns:xm="http://schemas.microsoft.com/office/excel/2006/main">
          <x14:cfRule type="dataBar" id="{B2534FA8-43B1-44CD-B43F-FBEEAF3A84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J95:K97</xm:sqref>
        </x14:conditionalFormatting>
        <x14:conditionalFormatting xmlns:xm="http://schemas.microsoft.com/office/excel/2006/main">
          <x14:cfRule type="dataBar" id="{66676DE6-8E2C-4673-8DB1-1351C8FC25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J115:K117</xm:sqref>
        </x14:conditionalFormatting>
        <x14:conditionalFormatting xmlns:xm="http://schemas.microsoft.com/office/excel/2006/main">
          <x14:cfRule type="dataBar" id="{DB1574FA-12D6-41D7-AC4A-FE3EB4D725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K132:L132 K133:K134</xm:sqref>
        </x14:conditionalFormatting>
        <x14:conditionalFormatting xmlns:xm="http://schemas.microsoft.com/office/excel/2006/main">
          <x14:cfRule type="dataBar" id="{FCDF9469-4317-4142-AB54-23DD29F0B8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N57</xm:sqref>
        </x14:conditionalFormatting>
        <x14:conditionalFormatting xmlns:xm="http://schemas.microsoft.com/office/excel/2006/main">
          <x14:cfRule type="dataBar" id="{1776D6E6-FC34-42CB-B670-B0AC085751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N77</xm:sqref>
        </x14:conditionalFormatting>
        <x14:conditionalFormatting xmlns:xm="http://schemas.microsoft.com/office/excel/2006/main">
          <x14:cfRule type="dataBar" id="{7AA94A80-4E27-4FF0-A13A-26E1D0B05E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N97</xm:sqref>
        </x14:conditionalFormatting>
        <x14:conditionalFormatting xmlns:xm="http://schemas.microsoft.com/office/excel/2006/main">
          <x14:cfRule type="dataBar" id="{9CB6D187-4B39-455A-9AB3-8B19BB719B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N117</xm:sqref>
        </x14:conditionalFormatting>
        <x14:conditionalFormatting xmlns:xm="http://schemas.microsoft.com/office/excel/2006/main">
          <x14:cfRule type="dataBar" id="{896D20F1-8C47-4A2A-B83F-F455FF9D52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N134</xm:sqref>
        </x14:conditionalFormatting>
        <x14:conditionalFormatting xmlns:xm="http://schemas.microsoft.com/office/excel/2006/main">
          <x14:cfRule type="dataBar" id="{3CEE9841-D997-43C0-AD7D-7D0ACECFC5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N95:O97</xm:sqref>
        </x14:conditionalFormatting>
        <x14:conditionalFormatting xmlns:xm="http://schemas.microsoft.com/office/excel/2006/main">
          <x14:cfRule type="dataBar" id="{09D37FAB-5EE3-4C47-8A4F-AED2BCE82D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N115:O117</xm:sqref>
        </x14:conditionalFormatting>
        <x14:conditionalFormatting xmlns:xm="http://schemas.microsoft.com/office/excel/2006/main">
          <x14:cfRule type="dataBar" id="{229A7D26-655B-4163-BF7C-1D752F03C3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O35</xm:sqref>
        </x14:conditionalFormatting>
        <x14:conditionalFormatting xmlns:xm="http://schemas.microsoft.com/office/excel/2006/main">
          <x14:cfRule type="dataBar" id="{5B8247B3-2FE1-4EF9-93C0-912323A544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O35:O37</xm:sqref>
        </x14:conditionalFormatting>
        <x14:conditionalFormatting xmlns:xm="http://schemas.microsoft.com/office/excel/2006/main">
          <x14:cfRule type="dataBar" id="{DB9A04DB-E610-4689-AD06-988F586B1C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O132:P132 O133:O134</xm:sqref>
        </x14:conditionalFormatting>
        <x14:conditionalFormatting xmlns:xm="http://schemas.microsoft.com/office/excel/2006/main">
          <x14:cfRule type="dataBar" id="{57B85972-8CAB-4279-9962-BF35043C54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R57</xm:sqref>
        </x14:conditionalFormatting>
        <x14:conditionalFormatting xmlns:xm="http://schemas.microsoft.com/office/excel/2006/main">
          <x14:cfRule type="dataBar" id="{E868C0BA-DFD2-479D-850F-C279148BF4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R77</xm:sqref>
        </x14:conditionalFormatting>
        <x14:conditionalFormatting xmlns:xm="http://schemas.microsoft.com/office/excel/2006/main">
          <x14:cfRule type="dataBar" id="{AAE269D4-5B1C-45F8-911B-5A03BB5A28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R97</xm:sqref>
        </x14:conditionalFormatting>
        <x14:conditionalFormatting xmlns:xm="http://schemas.microsoft.com/office/excel/2006/main">
          <x14:cfRule type="dataBar" id="{22EF0D8B-4DAA-443F-83FB-47E6518E04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R126</xm:sqref>
        </x14:conditionalFormatting>
        <x14:conditionalFormatting xmlns:xm="http://schemas.microsoft.com/office/excel/2006/main">
          <x14:cfRule type="dataBar" id="{43C83C6B-7061-4F3C-B467-967ED1DB46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R95:S97</xm:sqref>
        </x14:conditionalFormatting>
        <x14:conditionalFormatting xmlns:xm="http://schemas.microsoft.com/office/excel/2006/main">
          <x14:cfRule type="dataBar" id="{6A68CAED-9EDF-4BF5-9614-1818753BA6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S35:S37</xm:sqref>
        </x14:conditionalFormatting>
        <x14:conditionalFormatting xmlns:xm="http://schemas.microsoft.com/office/excel/2006/main">
          <x14:cfRule type="dataBar" id="{98375BEC-DE12-4DF6-B95D-ECE11AE777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S124:T124 S125:S126</xm:sqref>
        </x14:conditionalFormatting>
        <x14:conditionalFormatting xmlns:xm="http://schemas.microsoft.com/office/excel/2006/main">
          <x14:cfRule type="dataBar" id="{443E7BE4-9D4A-4DAB-8C22-86A58F0AD7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V57</xm:sqref>
        </x14:conditionalFormatting>
        <x14:conditionalFormatting xmlns:xm="http://schemas.microsoft.com/office/excel/2006/main">
          <x14:cfRule type="dataBar" id="{11BD558B-F8E6-4EDA-8528-7E33B7A404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V77</xm:sqref>
        </x14:conditionalFormatting>
        <x14:conditionalFormatting xmlns:xm="http://schemas.microsoft.com/office/excel/2006/main">
          <x14:cfRule type="dataBar" id="{DEBA6D35-0C21-4D52-AC9F-A73E4377B9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V97</xm:sqref>
        </x14:conditionalFormatting>
        <x14:conditionalFormatting xmlns:xm="http://schemas.microsoft.com/office/excel/2006/main">
          <x14:cfRule type="dataBar" id="{9B224DC0-1330-4766-B1D7-C71E42BE10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V126</xm:sqref>
        </x14:conditionalFormatting>
        <x14:conditionalFormatting xmlns:xm="http://schemas.microsoft.com/office/excel/2006/main">
          <x14:cfRule type="dataBar" id="{D6342681-48C3-44EA-B66C-DA37C2EB06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V95:W97</xm:sqref>
        </x14:conditionalFormatting>
        <x14:conditionalFormatting xmlns:xm="http://schemas.microsoft.com/office/excel/2006/main">
          <x14:cfRule type="dataBar" id="{9898C510-543C-4B3C-81A4-6CF4921F09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W35:W37</xm:sqref>
        </x14:conditionalFormatting>
        <x14:conditionalFormatting xmlns:xm="http://schemas.microsoft.com/office/excel/2006/main">
          <x14:cfRule type="dataBar" id="{47C4CE67-FC80-47B3-8845-6DD80C3DE7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W124:X124 W125:W126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6D7B0-F492-4F93-BB54-26B8A8CD7D6E}">
  <dimension ref="B5:F33"/>
  <sheetViews>
    <sheetView workbookViewId="0">
      <selection activeCell="K26" sqref="K26"/>
    </sheetView>
  </sheetViews>
  <sheetFormatPr defaultRowHeight="15" x14ac:dyDescent="0.25"/>
  <cols>
    <col min="2" max="2" width="11.140625" customWidth="1"/>
    <col min="3" max="3" width="17.42578125" customWidth="1"/>
    <col min="4" max="4" width="15.5703125" customWidth="1"/>
    <col min="5" max="5" width="10" customWidth="1"/>
    <col min="6" max="7" width="11.28515625" customWidth="1"/>
  </cols>
  <sheetData>
    <row r="5" spans="2:6" x14ac:dyDescent="0.25">
      <c r="B5" s="48" t="s">
        <v>39</v>
      </c>
      <c r="C5" s="49" t="s">
        <v>40</v>
      </c>
      <c r="D5" s="49" t="s">
        <v>41</v>
      </c>
      <c r="E5" s="49" t="s">
        <v>38</v>
      </c>
      <c r="F5" s="49" t="s">
        <v>42</v>
      </c>
    </row>
    <row r="6" spans="2:6" x14ac:dyDescent="0.25">
      <c r="B6" s="35">
        <v>46068</v>
      </c>
      <c r="C6" s="24">
        <f>Tracker!C37</f>
        <v>14636</v>
      </c>
      <c r="D6" s="24">
        <v>12000</v>
      </c>
      <c r="E6" s="36">
        <f t="shared" ref="E6:E33" si="0">IFERROR(C6 / $D$7, 0)</f>
        <v>1.2196666666666667</v>
      </c>
      <c r="F6" s="36">
        <v>0.36</v>
      </c>
    </row>
    <row r="7" spans="2:6" x14ac:dyDescent="0.25">
      <c r="B7" s="35">
        <v>46081</v>
      </c>
      <c r="C7" s="24">
        <f>Tracker!G37</f>
        <v>17346</v>
      </c>
      <c r="D7" s="24">
        <v>12000</v>
      </c>
      <c r="E7" s="36">
        <f t="shared" si="0"/>
        <v>1.4455</v>
      </c>
      <c r="F7" s="36">
        <v>0.36</v>
      </c>
    </row>
    <row r="8" spans="2:6" x14ac:dyDescent="0.25">
      <c r="B8" s="35">
        <v>46096</v>
      </c>
      <c r="C8" s="24">
        <f>Tracker!K37</f>
        <v>15147</v>
      </c>
      <c r="D8" s="24">
        <v>12000</v>
      </c>
      <c r="E8" s="36">
        <f t="shared" si="0"/>
        <v>1.2622500000000001</v>
      </c>
      <c r="F8" s="36">
        <v>0.36</v>
      </c>
    </row>
    <row r="9" spans="2:6" x14ac:dyDescent="0.25">
      <c r="B9" s="35">
        <v>46111</v>
      </c>
      <c r="C9" s="24">
        <f>Tracker!O37</f>
        <v>17098</v>
      </c>
      <c r="D9" s="24">
        <v>12000</v>
      </c>
      <c r="E9" s="36">
        <f t="shared" si="0"/>
        <v>1.4248333333333334</v>
      </c>
      <c r="F9" s="36">
        <v>0.36</v>
      </c>
    </row>
    <row r="10" spans="2:6" x14ac:dyDescent="0.25">
      <c r="B10" s="35">
        <v>46127</v>
      </c>
      <c r="C10" s="24">
        <f>Tracker!S37</f>
        <v>16235</v>
      </c>
      <c r="D10" s="24">
        <v>12000</v>
      </c>
      <c r="E10" s="36">
        <f t="shared" si="0"/>
        <v>1.3529166666666668</v>
      </c>
      <c r="F10" s="36">
        <v>0.36</v>
      </c>
    </row>
    <row r="11" spans="2:6" x14ac:dyDescent="0.25">
      <c r="B11" s="35">
        <v>46142</v>
      </c>
      <c r="C11" s="24">
        <f>Tracker!W37</f>
        <v>20814</v>
      </c>
      <c r="D11" s="24">
        <v>12000</v>
      </c>
      <c r="E11" s="36">
        <f t="shared" si="0"/>
        <v>1.7344999999999999</v>
      </c>
      <c r="F11" s="36">
        <v>0.36</v>
      </c>
    </row>
    <row r="12" spans="2:6" x14ac:dyDescent="0.25">
      <c r="B12" s="35">
        <v>46157</v>
      </c>
      <c r="C12" s="24">
        <f>Tracker!C57</f>
        <v>13907</v>
      </c>
      <c r="D12" s="24">
        <v>12000</v>
      </c>
      <c r="E12" s="36">
        <f t="shared" si="0"/>
        <v>1.1589166666666666</v>
      </c>
      <c r="F12" s="36">
        <v>0.36</v>
      </c>
    </row>
    <row r="13" spans="2:6" x14ac:dyDescent="0.25">
      <c r="B13" s="35">
        <v>46172</v>
      </c>
      <c r="C13" s="24">
        <f>Tracker!G57</f>
        <v>15284</v>
      </c>
      <c r="D13" s="24">
        <v>12000</v>
      </c>
      <c r="E13" s="36">
        <f t="shared" si="0"/>
        <v>1.2736666666666667</v>
      </c>
      <c r="F13" s="36">
        <v>0.36</v>
      </c>
    </row>
    <row r="14" spans="2:6" x14ac:dyDescent="0.25">
      <c r="B14" s="35">
        <v>46188</v>
      </c>
      <c r="C14" s="24">
        <f>Tracker!K57</f>
        <v>12012</v>
      </c>
      <c r="D14" s="24">
        <v>12000</v>
      </c>
      <c r="E14" s="36">
        <f t="shared" si="0"/>
        <v>1.0009999999999999</v>
      </c>
      <c r="F14" s="36">
        <v>0.36</v>
      </c>
    </row>
    <row r="15" spans="2:6" x14ac:dyDescent="0.25">
      <c r="B15" s="35">
        <v>46203</v>
      </c>
      <c r="C15" s="24">
        <f>Tracker!O57</f>
        <v>14694</v>
      </c>
      <c r="D15" s="24">
        <v>12000</v>
      </c>
      <c r="E15" s="36">
        <f t="shared" si="0"/>
        <v>1.2244999999999999</v>
      </c>
      <c r="F15" s="36">
        <v>0.36</v>
      </c>
    </row>
    <row r="16" spans="2:6" x14ac:dyDescent="0.25">
      <c r="B16" s="35">
        <v>46218</v>
      </c>
      <c r="C16" s="24">
        <f>Tracker!S57</f>
        <v>12012</v>
      </c>
      <c r="D16" s="24">
        <v>12000</v>
      </c>
      <c r="E16" s="36">
        <f t="shared" si="0"/>
        <v>1.0009999999999999</v>
      </c>
      <c r="F16" s="36">
        <v>0.36</v>
      </c>
    </row>
    <row r="17" spans="2:6" x14ac:dyDescent="0.25">
      <c r="B17" s="35">
        <v>46233</v>
      </c>
      <c r="C17" s="24">
        <f>Tracker!W57</f>
        <v>14385</v>
      </c>
      <c r="D17" s="24">
        <v>12000</v>
      </c>
      <c r="E17" s="36">
        <f t="shared" si="0"/>
        <v>1.19875</v>
      </c>
      <c r="F17" s="36">
        <v>0.36</v>
      </c>
    </row>
    <row r="18" spans="2:6" x14ac:dyDescent="0.25">
      <c r="B18" s="35">
        <v>46249</v>
      </c>
      <c r="C18" s="24">
        <f>Tracker!C77</f>
        <v>10075</v>
      </c>
      <c r="D18" s="24">
        <v>12000</v>
      </c>
      <c r="E18" s="36">
        <f t="shared" si="0"/>
        <v>0.83958333333333335</v>
      </c>
      <c r="F18" s="36">
        <v>0.36</v>
      </c>
    </row>
    <row r="19" spans="2:6" x14ac:dyDescent="0.25">
      <c r="B19" s="35">
        <v>46264</v>
      </c>
      <c r="C19" s="24">
        <f>Tracker!G77</f>
        <v>7067</v>
      </c>
      <c r="D19" s="24">
        <v>12000</v>
      </c>
      <c r="E19" s="36">
        <f t="shared" si="0"/>
        <v>0.58891666666666664</v>
      </c>
      <c r="F19" s="36">
        <v>0.36</v>
      </c>
    </row>
    <row r="20" spans="2:6" x14ac:dyDescent="0.25">
      <c r="B20" s="35">
        <v>46280</v>
      </c>
      <c r="C20" s="24">
        <f>Tracker!K77</f>
        <v>6304</v>
      </c>
      <c r="D20" s="24">
        <v>12000</v>
      </c>
      <c r="E20" s="36">
        <f t="shared" si="0"/>
        <v>0.52533333333333332</v>
      </c>
      <c r="F20" s="36">
        <v>0.36</v>
      </c>
    </row>
    <row r="21" spans="2:6" x14ac:dyDescent="0.25">
      <c r="B21" s="35">
        <v>46295</v>
      </c>
      <c r="C21" s="24">
        <f>Tracker!O77</f>
        <v>7067</v>
      </c>
      <c r="D21" s="24">
        <v>12000</v>
      </c>
      <c r="E21" s="36">
        <f t="shared" si="0"/>
        <v>0.58891666666666664</v>
      </c>
      <c r="F21" s="36">
        <v>0.36</v>
      </c>
    </row>
    <row r="22" spans="2:6" x14ac:dyDescent="0.25">
      <c r="B22" s="35">
        <v>46310</v>
      </c>
      <c r="C22" s="24">
        <f>Tracker!S77</f>
        <v>6304</v>
      </c>
      <c r="D22" s="24">
        <v>12000</v>
      </c>
      <c r="E22" s="36">
        <f t="shared" si="0"/>
        <v>0.52533333333333332</v>
      </c>
      <c r="F22" s="36">
        <v>0.36</v>
      </c>
    </row>
    <row r="23" spans="2:6" x14ac:dyDescent="0.25">
      <c r="B23" s="35">
        <v>46325</v>
      </c>
      <c r="C23" s="24">
        <f>Tracker!W77</f>
        <v>7067</v>
      </c>
      <c r="D23" s="24">
        <v>12000</v>
      </c>
      <c r="E23" s="36">
        <f t="shared" si="0"/>
        <v>0.58891666666666664</v>
      </c>
      <c r="F23" s="36">
        <v>0.36</v>
      </c>
    </row>
    <row r="24" spans="2:6" x14ac:dyDescent="0.25">
      <c r="B24" s="35">
        <v>46341</v>
      </c>
      <c r="C24" s="24">
        <f>Tracker!C97</f>
        <v>6304</v>
      </c>
      <c r="D24" s="24">
        <v>12000</v>
      </c>
      <c r="E24" s="36">
        <f t="shared" si="0"/>
        <v>0.52533333333333332</v>
      </c>
      <c r="F24" s="36">
        <v>0.36</v>
      </c>
    </row>
    <row r="25" spans="2:6" x14ac:dyDescent="0.25">
      <c r="B25" s="35">
        <v>46356</v>
      </c>
      <c r="C25" s="24">
        <f>Tracker!G97</f>
        <v>7067</v>
      </c>
      <c r="D25" s="24">
        <v>12000</v>
      </c>
      <c r="E25" s="36">
        <f t="shared" si="0"/>
        <v>0.58891666666666664</v>
      </c>
      <c r="F25" s="36">
        <v>0.36</v>
      </c>
    </row>
    <row r="26" spans="2:6" x14ac:dyDescent="0.25">
      <c r="B26" s="35">
        <v>46371</v>
      </c>
      <c r="C26" s="24">
        <f>Tracker!K97</f>
        <v>4110</v>
      </c>
      <c r="D26" s="24">
        <v>12000</v>
      </c>
      <c r="E26" s="36">
        <f t="shared" si="0"/>
        <v>0.34250000000000003</v>
      </c>
      <c r="F26" s="36">
        <v>0.36</v>
      </c>
    </row>
    <row r="27" spans="2:6" x14ac:dyDescent="0.25">
      <c r="B27" s="35">
        <v>46386</v>
      </c>
      <c r="C27" s="24">
        <f>Tracker!O97</f>
        <v>3443</v>
      </c>
      <c r="D27" s="24">
        <v>12000</v>
      </c>
      <c r="E27" s="36">
        <f t="shared" si="0"/>
        <v>0.28691666666666665</v>
      </c>
      <c r="F27" s="36">
        <v>0.36</v>
      </c>
    </row>
    <row r="28" spans="2:6" x14ac:dyDescent="0.25">
      <c r="B28" s="35">
        <v>46402</v>
      </c>
      <c r="C28" s="24">
        <f>Tracker!S97</f>
        <v>1694</v>
      </c>
      <c r="D28" s="24">
        <v>12000</v>
      </c>
      <c r="E28" s="36">
        <f t="shared" si="0"/>
        <v>0.14116666666666666</v>
      </c>
      <c r="F28" s="36">
        <v>0.36</v>
      </c>
    </row>
    <row r="29" spans="2:6" x14ac:dyDescent="0.25">
      <c r="B29" s="35">
        <v>46417</v>
      </c>
      <c r="C29" s="24">
        <f>Tracker!W97</f>
        <v>3443</v>
      </c>
      <c r="D29" s="24">
        <v>12000</v>
      </c>
      <c r="E29" s="36">
        <f t="shared" si="0"/>
        <v>0.28691666666666665</v>
      </c>
      <c r="F29" s="36">
        <v>0.36</v>
      </c>
    </row>
    <row r="30" spans="2:6" x14ac:dyDescent="0.25">
      <c r="B30" s="35">
        <v>46433</v>
      </c>
      <c r="C30" s="24">
        <f>Tracker!C117</f>
        <v>1694</v>
      </c>
      <c r="D30" s="24">
        <v>12000</v>
      </c>
      <c r="E30" s="36">
        <f t="shared" si="0"/>
        <v>0.14116666666666666</v>
      </c>
      <c r="F30" s="36">
        <v>0.36</v>
      </c>
    </row>
    <row r="31" spans="2:6" x14ac:dyDescent="0.25">
      <c r="B31" s="35">
        <v>46446</v>
      </c>
      <c r="C31" s="24">
        <f>Tracker!G117</f>
        <v>3443</v>
      </c>
      <c r="D31" s="24">
        <v>12000</v>
      </c>
      <c r="E31" s="36">
        <f t="shared" si="0"/>
        <v>0.28691666666666665</v>
      </c>
      <c r="F31" s="36">
        <v>0.36</v>
      </c>
    </row>
    <row r="32" spans="2:6" x14ac:dyDescent="0.25">
      <c r="B32" s="35">
        <v>45731</v>
      </c>
      <c r="C32" s="24">
        <f>Tracker!K117</f>
        <v>1694</v>
      </c>
      <c r="D32" s="24">
        <v>12000</v>
      </c>
      <c r="E32" s="36">
        <f t="shared" si="0"/>
        <v>0.14116666666666666</v>
      </c>
      <c r="F32" s="36">
        <v>0.36</v>
      </c>
    </row>
    <row r="33" spans="2:6" x14ac:dyDescent="0.25">
      <c r="B33" s="35">
        <v>46476</v>
      </c>
      <c r="C33" s="24">
        <f>Tracker!O117</f>
        <v>1749</v>
      </c>
      <c r="D33" s="24">
        <v>12000</v>
      </c>
      <c r="E33" s="36">
        <f t="shared" si="0"/>
        <v>0.14574999999999999</v>
      </c>
      <c r="F33" s="36">
        <v>0.36</v>
      </c>
    </row>
  </sheetData>
  <conditionalFormatting sqref="E6:E33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{F4BC17ED-6AB2-4AE9-BA1D-D7FF58F21906}</x14:id>
        </ext>
      </extLst>
    </cfRule>
  </conditionalFormatting>
  <pageMargins left="0.7" right="0.7" top="0.75" bottom="0.75" header="0.3" footer="0.3"/>
  <pageSetup orientation="portrait" r:id="rId1"/>
  <ignoredErrors>
    <ignoredError sqref="E5" calculatedColumn="1"/>
  </ignoredErrors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BC17ED-6AB2-4AE9-BA1D-D7FF58F2190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E6:E33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8AC18-F1D3-41A6-9915-9E65D89BB030}">
  <dimension ref="B2:G30"/>
  <sheetViews>
    <sheetView workbookViewId="0">
      <selection activeCell="G31" sqref="G31"/>
    </sheetView>
  </sheetViews>
  <sheetFormatPr defaultRowHeight="15" x14ac:dyDescent="0.25"/>
  <cols>
    <col min="2" max="2" width="17.42578125" customWidth="1"/>
    <col min="3" max="3" width="23.140625" customWidth="1"/>
  </cols>
  <sheetData>
    <row r="2" spans="2:7" x14ac:dyDescent="0.25">
      <c r="B2" t="s">
        <v>32</v>
      </c>
      <c r="C2" t="s">
        <v>33</v>
      </c>
      <c r="F2" t="s">
        <v>0</v>
      </c>
      <c r="G2" t="s">
        <v>34</v>
      </c>
    </row>
    <row r="3" spans="2:7" x14ac:dyDescent="0.25">
      <c r="B3" s="35">
        <v>46068</v>
      </c>
      <c r="C3" s="24">
        <f>Tracker!$C$35</f>
        <v>0</v>
      </c>
      <c r="F3" s="35">
        <v>46068</v>
      </c>
      <c r="G3" s="24">
        <f>Tracker!$C$36</f>
        <v>14636</v>
      </c>
    </row>
    <row r="4" spans="2:7" x14ac:dyDescent="0.25">
      <c r="B4" s="35">
        <v>46081</v>
      </c>
      <c r="C4" s="24">
        <f>Tracker!G35</f>
        <v>0</v>
      </c>
      <c r="F4" s="35">
        <v>46081</v>
      </c>
      <c r="G4" s="24">
        <f>Tracker!$G$36</f>
        <v>17346</v>
      </c>
    </row>
    <row r="5" spans="2:7" x14ac:dyDescent="0.25">
      <c r="B5" s="35">
        <v>46096</v>
      </c>
      <c r="C5" s="24">
        <f>Tracker!K35</f>
        <v>0</v>
      </c>
      <c r="F5" s="35">
        <v>46096</v>
      </c>
      <c r="G5" s="24">
        <f>Tracker!$K$36</f>
        <v>15147</v>
      </c>
    </row>
    <row r="6" spans="2:7" x14ac:dyDescent="0.25">
      <c r="B6" s="35">
        <v>46111</v>
      </c>
      <c r="C6" s="24">
        <f>Tracker!O35</f>
        <v>0</v>
      </c>
      <c r="F6" s="35">
        <v>46111</v>
      </c>
      <c r="G6" s="24">
        <f>Tracker!$O$36</f>
        <v>17098</v>
      </c>
    </row>
    <row r="7" spans="2:7" x14ac:dyDescent="0.25">
      <c r="B7" s="35">
        <v>46127</v>
      </c>
      <c r="C7" s="24">
        <f>Tracker!S35</f>
        <v>0</v>
      </c>
      <c r="F7" s="35">
        <v>46127</v>
      </c>
      <c r="G7" s="24">
        <f>Tracker!$S$36</f>
        <v>16235</v>
      </c>
    </row>
    <row r="8" spans="2:7" x14ac:dyDescent="0.25">
      <c r="B8" s="35">
        <v>46142</v>
      </c>
      <c r="C8" s="24">
        <f>Tracker!W35</f>
        <v>0</v>
      </c>
      <c r="F8" s="35">
        <v>46142</v>
      </c>
      <c r="G8" s="24">
        <f>Tracker!$W$36</f>
        <v>20814</v>
      </c>
    </row>
    <row r="9" spans="2:7" x14ac:dyDescent="0.25">
      <c r="B9" s="35">
        <v>46157</v>
      </c>
      <c r="C9" s="24">
        <f>Tracker!C55</f>
        <v>0</v>
      </c>
      <c r="F9" s="35">
        <v>46157</v>
      </c>
      <c r="G9" s="24">
        <f>Tracker!$C$56</f>
        <v>13907</v>
      </c>
    </row>
    <row r="10" spans="2:7" x14ac:dyDescent="0.25">
      <c r="B10" s="35">
        <v>46172</v>
      </c>
      <c r="C10" s="24">
        <f>Tracker!G55</f>
        <v>15284</v>
      </c>
      <c r="F10" s="35">
        <v>46172</v>
      </c>
      <c r="G10" s="24">
        <f>Tracker!$G$56</f>
        <v>0</v>
      </c>
    </row>
    <row r="11" spans="2:7" x14ac:dyDescent="0.25">
      <c r="B11" s="35">
        <v>46188</v>
      </c>
      <c r="C11" s="24">
        <f>Tracker!K55</f>
        <v>12012</v>
      </c>
      <c r="F11" s="35">
        <v>46188</v>
      </c>
      <c r="G11" s="24">
        <f>Tracker!$K$56</f>
        <v>0</v>
      </c>
    </row>
    <row r="12" spans="2:7" x14ac:dyDescent="0.25">
      <c r="B12" s="35">
        <v>46203</v>
      </c>
      <c r="C12" s="24">
        <f>Tracker!O55</f>
        <v>14694</v>
      </c>
      <c r="F12" s="35">
        <v>46203</v>
      </c>
      <c r="G12" s="24">
        <f>Tracker!$O$56</f>
        <v>0</v>
      </c>
    </row>
    <row r="13" spans="2:7" x14ac:dyDescent="0.25">
      <c r="B13" s="35">
        <v>46218</v>
      </c>
      <c r="C13" s="24">
        <f>Tracker!S55</f>
        <v>12012</v>
      </c>
      <c r="F13" s="35">
        <v>46218</v>
      </c>
      <c r="G13" s="24">
        <f>Tracker!$S$56</f>
        <v>0</v>
      </c>
    </row>
    <row r="14" spans="2:7" x14ac:dyDescent="0.25">
      <c r="B14" s="35">
        <v>46233</v>
      </c>
      <c r="C14" s="24">
        <f>Tracker!W55</f>
        <v>14385</v>
      </c>
      <c r="F14" s="35">
        <v>46233</v>
      </c>
      <c r="G14" s="24">
        <f>Tracker!$W$56</f>
        <v>0</v>
      </c>
    </row>
    <row r="15" spans="2:7" x14ac:dyDescent="0.25">
      <c r="B15" s="35">
        <v>46249</v>
      </c>
      <c r="C15" s="24">
        <f>Tracker!C75</f>
        <v>10075</v>
      </c>
      <c r="F15" s="35">
        <v>46249</v>
      </c>
      <c r="G15" s="24">
        <f>Tracker!C76</f>
        <v>0</v>
      </c>
    </row>
    <row r="16" spans="2:7" x14ac:dyDescent="0.25">
      <c r="B16" s="35">
        <v>46264</v>
      </c>
      <c r="C16" s="24">
        <f>Tracker!G75</f>
        <v>7067</v>
      </c>
      <c r="F16" s="35">
        <v>46264</v>
      </c>
      <c r="G16" s="24">
        <f>Tracker!G76</f>
        <v>0</v>
      </c>
    </row>
    <row r="17" spans="2:7" x14ac:dyDescent="0.25">
      <c r="B17" s="35">
        <v>46280</v>
      </c>
      <c r="C17" s="24">
        <f>Tracker!K75</f>
        <v>6304</v>
      </c>
      <c r="F17" s="35">
        <v>46280</v>
      </c>
      <c r="G17" s="24">
        <f>Tracker!K76</f>
        <v>0</v>
      </c>
    </row>
    <row r="18" spans="2:7" x14ac:dyDescent="0.25">
      <c r="B18" s="35">
        <v>46295</v>
      </c>
      <c r="C18" s="24">
        <f>Tracker!O75</f>
        <v>7067</v>
      </c>
      <c r="F18" s="35">
        <v>46295</v>
      </c>
      <c r="G18" s="24">
        <f>Tracker!O76</f>
        <v>0</v>
      </c>
    </row>
    <row r="19" spans="2:7" x14ac:dyDescent="0.25">
      <c r="B19" s="35">
        <v>46310</v>
      </c>
      <c r="C19" s="24">
        <f>Tracker!S75</f>
        <v>6304</v>
      </c>
      <c r="F19" s="35">
        <v>46310</v>
      </c>
      <c r="G19" s="24">
        <f>Tracker!S76</f>
        <v>0</v>
      </c>
    </row>
    <row r="20" spans="2:7" x14ac:dyDescent="0.25">
      <c r="B20" s="35">
        <v>46325</v>
      </c>
      <c r="C20" s="24">
        <f>Tracker!W75</f>
        <v>7067</v>
      </c>
      <c r="F20" s="35">
        <v>46325</v>
      </c>
      <c r="G20" s="24">
        <f>Tracker!W76</f>
        <v>0</v>
      </c>
    </row>
    <row r="21" spans="2:7" x14ac:dyDescent="0.25">
      <c r="B21" s="35">
        <v>46341</v>
      </c>
      <c r="C21" s="24">
        <f>Tracker!C95</f>
        <v>6304</v>
      </c>
      <c r="F21" s="35">
        <v>46341</v>
      </c>
      <c r="G21" s="24">
        <f>Tracker!C96</f>
        <v>0</v>
      </c>
    </row>
    <row r="22" spans="2:7" x14ac:dyDescent="0.25">
      <c r="B22" s="35">
        <v>46356</v>
      </c>
      <c r="C22" s="24">
        <f>Tracker!G95</f>
        <v>7067</v>
      </c>
      <c r="F22" s="35">
        <v>46356</v>
      </c>
      <c r="G22" s="24">
        <f>Tracker!G96</f>
        <v>0</v>
      </c>
    </row>
    <row r="23" spans="2:7" x14ac:dyDescent="0.25">
      <c r="B23" s="35">
        <v>46371</v>
      </c>
      <c r="C23" s="24">
        <f>Tracker!K95</f>
        <v>4110</v>
      </c>
      <c r="F23" s="35">
        <v>46371</v>
      </c>
      <c r="G23" s="24">
        <f>Tracker!K96</f>
        <v>0</v>
      </c>
    </row>
    <row r="24" spans="2:7" x14ac:dyDescent="0.25">
      <c r="B24" s="35">
        <v>46386</v>
      </c>
      <c r="C24" s="24">
        <f>Tracker!O95</f>
        <v>3443</v>
      </c>
      <c r="F24" s="35">
        <v>46386</v>
      </c>
      <c r="G24" s="24">
        <f>Tracker!O96</f>
        <v>0</v>
      </c>
    </row>
    <row r="25" spans="2:7" x14ac:dyDescent="0.25">
      <c r="B25" s="35">
        <v>46402</v>
      </c>
      <c r="C25" s="24">
        <f>Tracker!S95</f>
        <v>1694</v>
      </c>
      <c r="F25" s="35">
        <v>46402</v>
      </c>
      <c r="G25" s="24">
        <f>Tracker!S96</f>
        <v>0</v>
      </c>
    </row>
    <row r="26" spans="2:7" x14ac:dyDescent="0.25">
      <c r="B26" s="35">
        <v>46417</v>
      </c>
      <c r="C26" s="24">
        <f>Tracker!W95</f>
        <v>3443</v>
      </c>
      <c r="F26" s="35">
        <v>46417</v>
      </c>
      <c r="G26" s="24">
        <f>Tracker!W96</f>
        <v>0</v>
      </c>
    </row>
    <row r="27" spans="2:7" x14ac:dyDescent="0.25">
      <c r="B27" s="35">
        <v>46433</v>
      </c>
      <c r="C27" s="24">
        <f>Tracker!C115</f>
        <v>1694</v>
      </c>
      <c r="F27" s="35">
        <v>46433</v>
      </c>
      <c r="G27" s="24">
        <f>Tracker!C116</f>
        <v>0</v>
      </c>
    </row>
    <row r="28" spans="2:7" x14ac:dyDescent="0.25">
      <c r="B28" s="35">
        <v>46446</v>
      </c>
      <c r="C28" s="24">
        <f>Tracker!G115</f>
        <v>3443</v>
      </c>
      <c r="F28" s="35">
        <v>46446</v>
      </c>
      <c r="G28" s="24">
        <f>Tracker!G116</f>
        <v>0</v>
      </c>
    </row>
    <row r="29" spans="2:7" x14ac:dyDescent="0.25">
      <c r="B29" s="35">
        <v>46461</v>
      </c>
      <c r="C29" s="24">
        <f>Tracker!K115</f>
        <v>1694</v>
      </c>
      <c r="F29" s="35">
        <v>46461</v>
      </c>
      <c r="G29" s="24">
        <f>Tracker!K116</f>
        <v>0</v>
      </c>
    </row>
    <row r="30" spans="2:7" x14ac:dyDescent="0.25">
      <c r="B30" s="35">
        <v>46476</v>
      </c>
      <c r="C30" s="24">
        <f>Tracker!O115</f>
        <v>1749</v>
      </c>
      <c r="F30" s="35">
        <v>46476</v>
      </c>
      <c r="G30" s="24">
        <f>Tracker!O116</f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Tracker</vt:lpstr>
      <vt:lpstr>Summary of payments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Bañega</dc:creator>
  <cp:lastModifiedBy>Christine Bañega</cp:lastModifiedBy>
  <cp:lastPrinted>2026-02-28T04:49:03Z</cp:lastPrinted>
  <dcterms:created xsi:type="dcterms:W3CDTF">2026-01-31T00:30:08Z</dcterms:created>
  <dcterms:modified xsi:type="dcterms:W3CDTF">2026-05-23T01:33:25Z</dcterms:modified>
</cp:coreProperties>
</file>